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Password="94AB" lockStructure="1"/>
  <bookViews>
    <workbookView xWindow="0" yWindow="0" windowWidth="20490" windowHeight="7395" tabRatio="842" firstSheet="6" activeTab="6"/>
  </bookViews>
  <sheets>
    <sheet name="Read Me" sheetId="1" state="hidden" r:id="rId1"/>
    <sheet name="Errors" sheetId="2" state="hidden" r:id="rId2"/>
    <sheet name="Data" sheetId="3" state="hidden" r:id="rId3"/>
    <sheet name="ImportCsv" sheetId="4" state="hidden" r:id="rId4"/>
    <sheet name="Validations" sheetId="5" state="hidden" r:id="rId5"/>
    <sheet name="ValidationList" sheetId="6" state="hidden" r:id="rId6"/>
    <sheet name="Macros_Disabled" sheetId="20" r:id="rId7"/>
    <sheet name="A_Basic_Info" sheetId="7" state="hidden" r:id="rId8"/>
    <sheet name="B_Employees_Dtls" sheetId="8" state="hidden" r:id="rId9"/>
    <sheet name="C_Disabled_Employees_Dtls" sheetId="9" state="hidden" r:id="rId10"/>
    <sheet name="D_Computation_of_Car_Benefit" sheetId="10" state="hidden" r:id="rId11"/>
    <sheet name="E_Computation_of_Insu_Relief" sheetId="11" state="hidden" r:id="rId12"/>
    <sheet name="F_Lump_Sum_Payments_Dtls" sheetId="12" state="hidden" r:id="rId13"/>
    <sheet name="G_Arrears_Dtls_E" sheetId="13" state="hidden" r:id="rId14"/>
    <sheet name="H_Arrears_Dtls_DE" sheetId="14" state="hidden" r:id="rId15"/>
    <sheet name="I_Gratuity_Dtls" sheetId="15" state="hidden" r:id="rId16"/>
    <sheet name="J_FBT_Dtls" sheetId="16" state="hidden" r:id="rId17"/>
    <sheet name="K_PAYE_Payment_Credits" sheetId="17" state="hidden" r:id="rId18"/>
    <sheet name="L_Tax_Due" sheetId="18" state="hidden" r:id="rId19"/>
    <sheet name="Sheet1" sheetId="19" state="veryHidden" r:id="rId20"/>
  </sheets>
  <functionGroups builtInGroupCount="17"/>
  <definedNames>
    <definedName name="_Yr2007">Data!$K$13:$M$16</definedName>
    <definedName name="ArrearsDsblEmpPIN">H_Arrears_Dtls_DE!$A$5:$A$6</definedName>
    <definedName name="ArrearsEmpPIN">G_Arrears_Dtls_E!$A$5:$A$6</definedName>
    <definedName name="BodyType">Data!$Q$2:$Q$4</definedName>
    <definedName name="BodyTypeCode">Data!$R$2:$R$4</definedName>
    <definedName name="Boolean">Data!$C$2:$C$3</definedName>
    <definedName name="CalPayeTaxPyblOnGratI.List">I_Gratuity_Dtls!$A$3:$J$4</definedName>
    <definedName name="CalPayeTaxPyblOnGratII.List">I_Gratuity_Dtls!$A$10:$I$11</definedName>
    <definedName name="CalPayeTaxPyblOnGratIListTO">I_Gratuity_Dtls!$H$5</definedName>
    <definedName name="CarBenefit.List">D_Computation_of_Car_Benefit!$A$3:$M$4</definedName>
    <definedName name="CarBenefitListTO">D_Computation_of_Car_Benefit!$J$5</definedName>
    <definedName name="CarBnftUnq">D_Computation_of_Car_Benefit!$N$3:$N$4</definedName>
    <definedName name="CarBnftValue">D_Computation_of_Car_Benefit!$J$3:$J$4</definedName>
    <definedName name="CarType">Data!$N$2:$N$3</definedName>
    <definedName name="CarTypeCode">Data!$M$2:$M$3</definedName>
    <definedName name="ClcTaxDue.ArrDsblEmpTO">L_Tax_Due!$C$8</definedName>
    <definedName name="ClcTaxDue.ArrEmpTO">L_Tax_Due!$C$7</definedName>
    <definedName name="ClcTaxDue.DsblEmpTO">L_Tax_Due!$C$5</definedName>
    <definedName name="ClcTaxDue.EmpTO">L_Tax_Due!$C$4</definedName>
    <definedName name="ClcTaxDue.FringeBenfTO">L_Tax_Due!$C$10</definedName>
    <definedName name="ClcTaxDue.GratListTO">L_Tax_Due!$C$9</definedName>
    <definedName name="ClcTaxDue.LumpSumTO">L_Tax_Due!$C$6</definedName>
    <definedName name="ClcTaxDue.NetPayeTaxPybl">L_Tax_Due!$C$15</definedName>
    <definedName name="ClcTaxDue.PrevMonPaye">L_Tax_Due!$C$12</definedName>
    <definedName name="ClcTaxDue.TaxAdvPdTO">L_Tax_Due!$C$14</definedName>
    <definedName name="ClcTaxDue.TotEmpRcrds">L_Tax_Due!$C$3</definedName>
    <definedName name="ClcTaxDue.TotPayeTaxPybl">L_Tax_Due!$C$11</definedName>
    <definedName name="ClcTaxDue.TotTaxPybl">L_Tax_Due!$C$13</definedName>
    <definedName name="DtlsArrSalPdBftsPayeDedFrmDsblEmp.List">H_Arrears_Dtls_DE!$A$5:$AT$6</definedName>
    <definedName name="DtlsArrSalPdBftsPayeDedFrmDsblEmpListTO">H_Arrears_Dtls_DE!$AN$7</definedName>
    <definedName name="DtlsArrSalPdBftsPayeDedFrmEmp.List">G_Arrears_Dtls_E!$A$5:$AR$6</definedName>
    <definedName name="DtlsArrSalPdBftsPayeDedFrmEmpListTO">G_Arrears_Dtls_E!$AL$7</definedName>
    <definedName name="DtlsArrSalPdBftsPayeSelfPayeListTO">H_Arrears_Dtls_DE!$AO$7</definedName>
    <definedName name="DtlsPaye.SelfAssTaxPaidList">K_PAYE_Payment_Credits!$A$10:$D$11</definedName>
    <definedName name="DtlsPaye.TaxPaidAdvList">K_PAYE_Payment_Credits!$A$4:$D$5</definedName>
    <definedName name="DtlsPayeFinalTaxPdTO">K_PAYE_Payment_Credits!$C$13</definedName>
    <definedName name="DtlsPayeSelfAssTaxListTO">K_PAYE_Payment_Credits!$C$12</definedName>
    <definedName name="DtlsPayeTaxPaidAdvListTO">K_PAYE_Payment_Credits!$C$6</definedName>
    <definedName name="DtlsSalPdArrearDEListTO">G_Arrears_Dtls_E!$AM$7</definedName>
    <definedName name="DtlsSalPdBftsPayeDedFrmDsblEmp.List">C_Disabled_Employees_Dtls!$A$5:$AO$6</definedName>
    <definedName name="DtlsSalPdBftsPayeDedFrmDsblEmpListTO">C_Disabled_Employees_Dtls!$AJ$8</definedName>
    <definedName name="DtlsSalPdBftsPayeDedFrmEmp.List">B_Employees_Dtls!$A$5:$AM$6</definedName>
    <definedName name="DtlsSalPdBftsPayeDedFrmEmpListTO">B_Employees_Dtls!$AH$7</definedName>
    <definedName name="DtlsSalPdBftsSelfPayTaxDEListTO">C_Disabled_Employees_Dtls!$AK$8</definedName>
    <definedName name="DtlsSalPdBftsSelfPayTaxListTO">B_Employees_Dtls!$AI$7</definedName>
    <definedName name="EntityCode">Data!$V$2:$V$3</definedName>
    <definedName name="EntityType">Data!$U$2:$U$3</definedName>
    <definedName name="EntityTypeCodeCol">Data!$V$17</definedName>
    <definedName name="formId">Data!$A$42</definedName>
    <definedName name="FringeBenf.TaxCalcList">J_FBT_Dtls!$A$3:$K$4</definedName>
    <definedName name="FringeBenfTaxCalcListTO">J_FBT_Dtls!$K$5</definedName>
    <definedName name="genXML">Data!$A$48</definedName>
    <definedName name="GratuityPIN">I_Gratuity_Dtls!$A$10:$A$11</definedName>
    <definedName name="HolderPolicy">Data!$H$8:$H$10</definedName>
    <definedName name="HolderPolicyCode">Data!$I$8:$I$10</definedName>
    <definedName name="InsReliefDtls.List">E_Computation_of_Insu_Relief!$A$3:$Q$4</definedName>
    <definedName name="InsReliefDtlsListTO">E_Computation_of_Insu_Relief!$N$5</definedName>
    <definedName name="InsReliefPINEmp">E_Computation_of_Insu_Relief!$A$3:$A$4</definedName>
    <definedName name="InsReliefUnq">E_Computation_of_Insu_Relief!$Q$3:$Q$4</definedName>
    <definedName name="InsReliefValue">E_Computation_of_Insu_Relief!$M$3:$M$4</definedName>
    <definedName name="moduleId">Data!$A$41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Data!$B$21:$B$39</definedName>
    <definedName name="OtherYear2">Data!$E$21:$E$37</definedName>
    <definedName name="PINSrNo">I_Gratuity_Dtls!$J$3:$J$4</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B_Employees_Dtls!$C$5:$C$6</definedName>
    <definedName name="ResidentStatusCode">Data!$H$16:$H$17</definedName>
    <definedName name="ResidentStatusD">C_Disabled_Employees_Dtls!$C$5:$C$6</definedName>
    <definedName name="ResidentStatusH">G_Arrears_Dtls_E!$E$5:$E$6</definedName>
    <definedName name="ResidentStatusI">H_Arrears_Dtls_DE!$E$5:$E$6</definedName>
    <definedName name="RetInf.arrearStartDate">A_Basic_Info!$C$9</definedName>
    <definedName name="RetInf.DatePaymentStartDate">A_Basic_Info!$A$8</definedName>
    <definedName name="RetInf.DepositStartDate">A_Basic_Info!$C$8</definedName>
    <definedName name="ReturnType">Data!$A$2:$A$3</definedName>
    <definedName name="ReturnTypeCode">Data!$B$2:$B$3</definedName>
    <definedName name="RtnInf.EntityCode">A_Basic_Info!$C$3</definedName>
    <definedName name="RtnInf.EntityType">A_Basic_Info!$B$5</definedName>
    <definedName name="RtnInf.Month">A_Basic_Info!$B$9</definedName>
    <definedName name="RtnInf.MonthCode">A_Basic_Info!$C$4</definedName>
    <definedName name="RtnInf.ReturnType">A_Basic_Info!$B$4</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A_Basic_Info!$B$8</definedName>
    <definedName name="RtnInf.TaxPayersPIN">A_Basic_Info!$B$3</definedName>
    <definedName name="SalDedDsbEmpPIN">C_Disabled_Employees_Dtls!$A$5:$A$6</definedName>
    <definedName name="SalDedEmpPIN">B_Employees_Dtls!$A$5:$A$6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ayable">I_Gratuity_Dtls!$H$10:$H$11</definedName>
    <definedName name="TaxPdOnLumpSumPdAftrTrmtn.List">F_Lump_Sum_Payments_Dtls!$A$3:$L$4</definedName>
    <definedName name="TaxPdOnLumpSumPdAftrTrmtnListTO">F_Lump_Sum_Payments_Dtls!$L$5</definedName>
    <definedName name="templateInfo.formId">A_Basic_Info!$B$12</definedName>
    <definedName name="templateInfo.moduleId">A_Basic_Info!$A$12</definedName>
    <definedName name="templateInfo.obligId">A_Basic_Info!$B$10</definedName>
    <definedName name="templateInfo.ofcVrsn">A_Basic_Info!$B$11</definedName>
    <definedName name="templateInfo.tempType">A_Basic_Info!$A$11</definedName>
    <definedName name="templateInfo.tempVrsn">A_Basic_Info!$A$10</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Data!$A$21:$A$32</definedName>
  </definedNames>
  <calcPr calcId="144525"/>
</workbook>
</file>

<file path=xl/calcChain.xml><?xml version="1.0" encoding="utf-8"?>
<calcChain xmlns="http://schemas.openxmlformats.org/spreadsheetml/2006/main">
  <c r="J3" i="10" l="1"/>
  <c r="J4" i="10"/>
  <c r="A11" i="15" l="1"/>
  <c r="H11" i="15" s="1"/>
  <c r="A10" i="15"/>
  <c r="H10" i="15" s="1"/>
  <c r="F11" i="15" l="1"/>
  <c r="E11" i="15"/>
  <c r="K11" i="15"/>
  <c r="K10" i="15"/>
  <c r="F10" i="15"/>
  <c r="E10" i="15"/>
  <c r="C80" i="6" l="1"/>
  <c r="B80" i="6"/>
  <c r="Y8" i="6"/>
  <c r="C3" i="18"/>
  <c r="C12" i="17"/>
  <c r="C6" i="17"/>
  <c r="B1159" i="4"/>
  <c r="B835" i="4"/>
  <c r="B723" i="4"/>
  <c r="B718" i="4"/>
  <c r="B10" i="7"/>
  <c r="B11" i="7"/>
  <c r="B12" i="7"/>
  <c r="A12" i="7"/>
  <c r="A11" i="7"/>
  <c r="A10" i="7"/>
  <c r="A675" i="4"/>
  <c r="A1427" i="4"/>
  <c r="A1355" i="4"/>
  <c r="A562" i="4"/>
  <c r="A671" i="4"/>
  <c r="A739" i="4"/>
  <c r="A558" i="4"/>
  <c r="A256" i="4"/>
  <c r="A1423" i="4"/>
  <c r="A1351" i="4"/>
  <c r="A1019" i="4"/>
  <c r="D4" i="17"/>
  <c r="D5" i="17"/>
  <c r="D10" i="17"/>
  <c r="D11" i="17"/>
  <c r="G3" i="16"/>
  <c r="I3" i="16"/>
  <c r="G4" i="16"/>
  <c r="J4" i="16" s="1"/>
  <c r="K4" i="16" s="1"/>
  <c r="I4" i="16"/>
  <c r="I3" i="15"/>
  <c r="J3" i="15"/>
  <c r="I4" i="15"/>
  <c r="J4" i="15"/>
  <c r="P5" i="14"/>
  <c r="S5" i="14"/>
  <c r="AA5" i="14"/>
  <c r="AC5" i="14"/>
  <c r="AG5" i="14"/>
  <c r="AP5" i="14"/>
  <c r="AQ5" i="14"/>
  <c r="W5" i="14"/>
  <c r="Y5" i="14"/>
  <c r="AR5" i="14"/>
  <c r="AS5" i="14"/>
  <c r="AT5" i="14"/>
  <c r="P6" i="14"/>
  <c r="AA6" i="14"/>
  <c r="AF6" i="14"/>
  <c r="S6" i="14"/>
  <c r="AC6" i="14"/>
  <c r="AG6" i="14"/>
  <c r="AP6" i="14"/>
  <c r="AQ6" i="14"/>
  <c r="W6" i="14"/>
  <c r="Y6" i="14"/>
  <c r="Z6" i="14"/>
  <c r="AR6" i="14"/>
  <c r="AS6" i="14"/>
  <c r="AT6" i="14"/>
  <c r="AO7" i="14"/>
  <c r="C8" i="18" s="1"/>
  <c r="O5" i="13"/>
  <c r="R5" i="13"/>
  <c r="V5" i="13"/>
  <c r="X5" i="13"/>
  <c r="Y5" i="13"/>
  <c r="Z5" i="13"/>
  <c r="AB5" i="13"/>
  <c r="AE5" i="13"/>
  <c r="AF5" i="13"/>
  <c r="AG5" i="13"/>
  <c r="AJ5" i="13"/>
  <c r="AL5" i="13"/>
  <c r="AN5" i="13"/>
  <c r="AO5" i="13"/>
  <c r="AP5" i="13"/>
  <c r="AQ5" i="13"/>
  <c r="AR5" i="13"/>
  <c r="O6" i="13"/>
  <c r="R6" i="13"/>
  <c r="V6" i="13"/>
  <c r="X6" i="13"/>
  <c r="Y6" i="13"/>
  <c r="Z6" i="13"/>
  <c r="AB6" i="13"/>
  <c r="AE6" i="13"/>
  <c r="AF6" i="13"/>
  <c r="AG6" i="13"/>
  <c r="AJ6" i="13"/>
  <c r="AL6" i="13"/>
  <c r="AN6" i="13"/>
  <c r="AO6" i="13"/>
  <c r="AP6" i="13"/>
  <c r="AQ6" i="13"/>
  <c r="AR6" i="13"/>
  <c r="AM7" i="13"/>
  <c r="C7" i="18" s="1"/>
  <c r="I3" i="12"/>
  <c r="J3" i="12"/>
  <c r="L3" i="12"/>
  <c r="I4" i="12"/>
  <c r="J4" i="12"/>
  <c r="L4" i="12"/>
  <c r="O3" i="11"/>
  <c r="P3" i="11"/>
  <c r="Q3" i="11"/>
  <c r="R3" i="11"/>
  <c r="O4" i="11"/>
  <c r="P4" i="11"/>
  <c r="Q4" i="11"/>
  <c r="R4" i="11"/>
  <c r="N5" i="11"/>
  <c r="K3" i="10"/>
  <c r="L3" i="10"/>
  <c r="M3" i="10"/>
  <c r="N3" i="10"/>
  <c r="O3" i="10"/>
  <c r="J5" i="10"/>
  <c r="K4" i="10"/>
  <c r="L4" i="10"/>
  <c r="M4" i="10"/>
  <c r="N4" i="10"/>
  <c r="O4" i="10"/>
  <c r="N5" i="9"/>
  <c r="Y5" i="9" s="1"/>
  <c r="AD5" i="9"/>
  <c r="Q5" i="9"/>
  <c r="U5" i="9"/>
  <c r="W5" i="9"/>
  <c r="X5" i="9"/>
  <c r="AA5" i="9"/>
  <c r="AE5" i="9"/>
  <c r="AL5" i="9"/>
  <c r="AM5" i="9"/>
  <c r="AN5" i="9"/>
  <c r="AO5" i="9"/>
  <c r="N6" i="9"/>
  <c r="Y6" i="9" s="1"/>
  <c r="AD6" i="9"/>
  <c r="Q6" i="9"/>
  <c r="U6" i="9"/>
  <c r="W6" i="9"/>
  <c r="X6" i="9"/>
  <c r="AF6" i="9"/>
  <c r="AG6" i="9" s="1"/>
  <c r="AA6" i="9"/>
  <c r="AE6" i="9"/>
  <c r="AL6" i="9"/>
  <c r="AM6" i="9"/>
  <c r="AN6" i="9"/>
  <c r="AO6" i="9"/>
  <c r="AK8" i="9"/>
  <c r="C5" i="18" s="1"/>
  <c r="M5" i="8"/>
  <c r="X5" i="8" s="1"/>
  <c r="P5" i="8"/>
  <c r="Z5" i="8"/>
  <c r="AJ5" i="8"/>
  <c r="AK5" i="8"/>
  <c r="T5" i="8"/>
  <c r="V5" i="8"/>
  <c r="AL5" i="8"/>
  <c r="AM5" i="8"/>
  <c r="M6" i="8"/>
  <c r="X6" i="8" s="1"/>
  <c r="AC6" i="8"/>
  <c r="P6" i="8"/>
  <c r="Z6" i="8"/>
  <c r="AJ6" i="8"/>
  <c r="AK6" i="8"/>
  <c r="T6" i="8"/>
  <c r="V6" i="8"/>
  <c r="W6" i="8"/>
  <c r="AD6" i="8"/>
  <c r="AE6" i="8" s="1"/>
  <c r="AL6" i="8"/>
  <c r="AM6" i="8"/>
  <c r="AI7" i="8"/>
  <c r="C4" i="18" s="1"/>
  <c r="AI8" i="8"/>
  <c r="A8" i="7"/>
  <c r="B6" i="6"/>
  <c r="C6" i="6"/>
  <c r="D6" i="6"/>
  <c r="E6" i="6"/>
  <c r="F6" i="6"/>
  <c r="G6" i="6"/>
  <c r="H6" i="6"/>
  <c r="I6" i="6"/>
  <c r="J6" i="6"/>
  <c r="K6" i="6"/>
  <c r="L6" i="6"/>
  <c r="M6" i="6"/>
  <c r="N6" i="6"/>
  <c r="O6" i="6"/>
  <c r="P6" i="6"/>
  <c r="Q6" i="6"/>
  <c r="R6" i="6"/>
  <c r="S6" i="6"/>
  <c r="T6" i="6"/>
  <c r="U6" i="6"/>
  <c r="V6" i="6"/>
  <c r="W6" i="6"/>
  <c r="X6" i="6"/>
  <c r="C8" i="6"/>
  <c r="E8" i="6"/>
  <c r="F8" i="6"/>
  <c r="G8" i="6"/>
  <c r="H8" i="6"/>
  <c r="I8" i="6"/>
  <c r="J8" i="6"/>
  <c r="K8" i="6"/>
  <c r="L8" i="6"/>
  <c r="M8" i="6"/>
  <c r="N8" i="6"/>
  <c r="P8" i="6"/>
  <c r="Q8" i="6"/>
  <c r="R8" i="6"/>
  <c r="S8" i="6"/>
  <c r="T8" i="6"/>
  <c r="U8" i="6"/>
  <c r="V8" i="6"/>
  <c r="W8" i="6"/>
  <c r="X8" i="6"/>
  <c r="B14" i="6"/>
  <c r="C14" i="6"/>
  <c r="D14" i="6"/>
  <c r="E14" i="6"/>
  <c r="F14" i="6"/>
  <c r="G14" i="6"/>
  <c r="H14" i="6"/>
  <c r="I14" i="6"/>
  <c r="J14" i="6"/>
  <c r="K14" i="6"/>
  <c r="L14" i="6"/>
  <c r="M14" i="6"/>
  <c r="N14" i="6"/>
  <c r="O14" i="6"/>
  <c r="P14" i="6"/>
  <c r="Q14" i="6"/>
  <c r="R14" i="6"/>
  <c r="S14" i="6"/>
  <c r="T14" i="6"/>
  <c r="U14" i="6"/>
  <c r="V14" i="6"/>
  <c r="W14" i="6"/>
  <c r="X14" i="6"/>
  <c r="Y14" i="6"/>
  <c r="C16" i="6"/>
  <c r="G16" i="6"/>
  <c r="H16" i="6"/>
  <c r="I16" i="6"/>
  <c r="J16" i="6"/>
  <c r="K16" i="6"/>
  <c r="L16" i="6"/>
  <c r="M16" i="6"/>
  <c r="N16" i="6"/>
  <c r="O16" i="6"/>
  <c r="R16" i="6"/>
  <c r="S16" i="6"/>
  <c r="T16" i="6"/>
  <c r="U16" i="6"/>
  <c r="V16" i="6"/>
  <c r="W16" i="6"/>
  <c r="X16" i="6"/>
  <c r="Y16" i="6"/>
  <c r="B24" i="6"/>
  <c r="C24" i="6"/>
  <c r="D24" i="6"/>
  <c r="E24" i="6"/>
  <c r="F24" i="6"/>
  <c r="G24" i="6"/>
  <c r="H24" i="6"/>
  <c r="I24" i="6"/>
  <c r="J24" i="6"/>
  <c r="K24" i="6"/>
  <c r="B26" i="6"/>
  <c r="D26" i="6"/>
  <c r="E26" i="6"/>
  <c r="G26" i="6"/>
  <c r="I26" i="6"/>
  <c r="J26" i="6"/>
  <c r="K26" i="6"/>
  <c r="B32" i="6"/>
  <c r="C32" i="6"/>
  <c r="D32" i="6"/>
  <c r="E32" i="6"/>
  <c r="F32" i="6"/>
  <c r="G32" i="6"/>
  <c r="H32" i="6"/>
  <c r="I32" i="6"/>
  <c r="J32" i="6"/>
  <c r="K32" i="6"/>
  <c r="L32" i="6"/>
  <c r="M32" i="6"/>
  <c r="N32" i="6"/>
  <c r="D34" i="6"/>
  <c r="E34" i="6"/>
  <c r="G34" i="6"/>
  <c r="I34" i="6"/>
  <c r="J34" i="6"/>
  <c r="K34" i="6"/>
  <c r="L34" i="6"/>
  <c r="M34" i="6"/>
  <c r="N34" i="6"/>
  <c r="B40" i="6"/>
  <c r="C40" i="6"/>
  <c r="D40" i="6"/>
  <c r="E40" i="6"/>
  <c r="F40" i="6"/>
  <c r="G40" i="6"/>
  <c r="H40" i="6"/>
  <c r="I40" i="6"/>
  <c r="J40" i="6"/>
  <c r="C42" i="6"/>
  <c r="D42" i="6"/>
  <c r="E42" i="6"/>
  <c r="F42" i="6"/>
  <c r="G42" i="6"/>
  <c r="H42" i="6"/>
  <c r="I42" i="6"/>
  <c r="J42" i="6"/>
  <c r="B48" i="6"/>
  <c r="C48" i="6"/>
  <c r="D48" i="6"/>
  <c r="E48" i="6"/>
  <c r="F48" i="6"/>
  <c r="G48" i="6"/>
  <c r="H48" i="6"/>
  <c r="I48" i="6"/>
  <c r="J48" i="6"/>
  <c r="K48" i="6"/>
  <c r="L48" i="6"/>
  <c r="M48" i="6"/>
  <c r="N48" i="6"/>
  <c r="O48" i="6"/>
  <c r="P48" i="6"/>
  <c r="Q48" i="6"/>
  <c r="R48" i="6"/>
  <c r="S48" i="6"/>
  <c r="T48" i="6"/>
  <c r="U48" i="6"/>
  <c r="V48" i="6"/>
  <c r="W48" i="6"/>
  <c r="X48" i="6"/>
  <c r="Y48" i="6"/>
  <c r="Z48" i="6"/>
  <c r="AA48" i="6"/>
  <c r="H50" i="6"/>
  <c r="I50" i="6"/>
  <c r="J50" i="6"/>
  <c r="K50" i="6"/>
  <c r="L50" i="6"/>
  <c r="M50" i="6"/>
  <c r="N50" i="6"/>
  <c r="O50" i="6"/>
  <c r="P50" i="6"/>
  <c r="Q50" i="6"/>
  <c r="S50" i="6"/>
  <c r="T50" i="6"/>
  <c r="U50" i="6"/>
  <c r="V50" i="6"/>
  <c r="W50" i="6"/>
  <c r="X50" i="6"/>
  <c r="Y50" i="6"/>
  <c r="Z50" i="6"/>
  <c r="AA50" i="6"/>
  <c r="B56" i="6"/>
  <c r="C56" i="6"/>
  <c r="D56" i="6"/>
  <c r="E56" i="6"/>
  <c r="F56" i="6"/>
  <c r="G56" i="6"/>
  <c r="H56" i="6"/>
  <c r="I56" i="6"/>
  <c r="J56" i="6"/>
  <c r="K56" i="6"/>
  <c r="L56" i="6"/>
  <c r="M56" i="6"/>
  <c r="N56" i="6"/>
  <c r="O56" i="6"/>
  <c r="P56" i="6"/>
  <c r="Q56" i="6"/>
  <c r="R56" i="6"/>
  <c r="S56" i="6"/>
  <c r="T56" i="6"/>
  <c r="U56" i="6"/>
  <c r="V56" i="6"/>
  <c r="W56" i="6"/>
  <c r="X56" i="6"/>
  <c r="Y56" i="6"/>
  <c r="Z56" i="6"/>
  <c r="AA56" i="6"/>
  <c r="AB56" i="6"/>
  <c r="C58" i="6"/>
  <c r="H58" i="6"/>
  <c r="I58" i="6"/>
  <c r="J58" i="6"/>
  <c r="K58" i="6"/>
  <c r="L58" i="6"/>
  <c r="M58" i="6"/>
  <c r="N58" i="6"/>
  <c r="O58" i="6"/>
  <c r="P58" i="6"/>
  <c r="Q58" i="6"/>
  <c r="R58" i="6"/>
  <c r="T58" i="6"/>
  <c r="U58" i="6"/>
  <c r="V58" i="6"/>
  <c r="W58" i="6"/>
  <c r="X58" i="6"/>
  <c r="Y58" i="6"/>
  <c r="Z58" i="6"/>
  <c r="AA58" i="6"/>
  <c r="AB58" i="6"/>
  <c r="B64" i="6"/>
  <c r="C64" i="6"/>
  <c r="D64" i="6"/>
  <c r="E64" i="6"/>
  <c r="F64" i="6"/>
  <c r="G64" i="6"/>
  <c r="H64" i="6"/>
  <c r="B66" i="6"/>
  <c r="C66" i="6"/>
  <c r="D66" i="6"/>
  <c r="E66" i="6"/>
  <c r="F66" i="6"/>
  <c r="H66" i="6"/>
  <c r="B72" i="6"/>
  <c r="C72" i="6"/>
  <c r="D72" i="6"/>
  <c r="E72" i="6"/>
  <c r="F72" i="6"/>
  <c r="G72" i="6"/>
  <c r="H72" i="6"/>
  <c r="C74" i="6"/>
  <c r="D74" i="6"/>
  <c r="E74" i="6"/>
  <c r="F74" i="6"/>
  <c r="H74" i="6"/>
  <c r="B86" i="6"/>
  <c r="C86" i="6"/>
  <c r="D86" i="6"/>
  <c r="C88" i="6"/>
  <c r="D88" i="6"/>
  <c r="B96" i="6"/>
  <c r="C96" i="6"/>
  <c r="D96" i="6"/>
  <c r="C98" i="6"/>
  <c r="D98" i="6"/>
  <c r="F2" i="5"/>
  <c r="F3" i="5"/>
  <c r="F4" i="5"/>
  <c r="F5" i="5"/>
  <c r="F6" i="5"/>
  <c r="F7" i="5"/>
  <c r="F8" i="5"/>
  <c r="F9" i="5"/>
  <c r="F10" i="5"/>
  <c r="F11" i="5"/>
  <c r="B132" i="4"/>
  <c r="A136" i="4"/>
  <c r="A140" i="4"/>
  <c r="B144" i="4"/>
  <c r="A148" i="4"/>
  <c r="A152" i="4"/>
  <c r="B180" i="4"/>
  <c r="A184" i="4"/>
  <c r="A188" i="4"/>
  <c r="A192" i="4"/>
  <c r="B192" i="4"/>
  <c r="A196" i="4"/>
  <c r="B196" i="4"/>
  <c r="A200" i="4"/>
  <c r="B200" i="4"/>
  <c r="A204" i="4"/>
  <c r="B204" i="4"/>
  <c r="A212" i="4"/>
  <c r="B212" i="4"/>
  <c r="A216" i="4"/>
  <c r="B216" i="4"/>
  <c r="A220" i="4"/>
  <c r="B220" i="4"/>
  <c r="A224" i="4"/>
  <c r="B224" i="4"/>
  <c r="A228" i="4"/>
  <c r="A232" i="4"/>
  <c r="A236" i="4"/>
  <c r="A240" i="4"/>
  <c r="A244" i="4"/>
  <c r="A248" i="4"/>
  <c r="B426" i="4"/>
  <c r="A430" i="4"/>
  <c r="A434" i="4"/>
  <c r="B438" i="4"/>
  <c r="A442" i="4"/>
  <c r="A446" i="4"/>
  <c r="B474" i="4"/>
  <c r="A478" i="4"/>
  <c r="A482" i="4"/>
  <c r="A486" i="4"/>
  <c r="A494" i="4"/>
  <c r="B494" i="4"/>
  <c r="A498" i="4"/>
  <c r="B498" i="4"/>
  <c r="A502" i="4"/>
  <c r="B502" i="4"/>
  <c r="A506" i="4"/>
  <c r="B506" i="4"/>
  <c r="A514" i="4"/>
  <c r="B514" i="4"/>
  <c r="A518" i="4"/>
  <c r="B518" i="4"/>
  <c r="A522" i="4"/>
  <c r="B522" i="4"/>
  <c r="A526" i="4"/>
  <c r="B526" i="4"/>
  <c r="A530" i="4"/>
  <c r="A534" i="4"/>
  <c r="A538" i="4"/>
  <c r="A542" i="4"/>
  <c r="A546" i="4"/>
  <c r="A550" i="4"/>
  <c r="A655" i="4"/>
  <c r="A659" i="4"/>
  <c r="A663" i="4"/>
  <c r="A667" i="4"/>
  <c r="B851" i="4"/>
  <c r="A855" i="4"/>
  <c r="A859" i="4"/>
  <c r="B863" i="4"/>
  <c r="A867" i="4"/>
  <c r="A871" i="4"/>
  <c r="B899" i="4"/>
  <c r="A903" i="4"/>
  <c r="A907" i="4"/>
  <c r="A911" i="4"/>
  <c r="A955" i="4"/>
  <c r="B955" i="4"/>
  <c r="A959" i="4"/>
  <c r="B959" i="4"/>
  <c r="A963" i="4"/>
  <c r="B963" i="4"/>
  <c r="A967" i="4"/>
  <c r="B967" i="4"/>
  <c r="A975" i="4"/>
  <c r="B975" i="4"/>
  <c r="A979" i="4"/>
  <c r="B979" i="4"/>
  <c r="A983" i="4"/>
  <c r="B983" i="4"/>
  <c r="A987" i="4"/>
  <c r="B987" i="4"/>
  <c r="A991" i="4"/>
  <c r="A995" i="4"/>
  <c r="A999" i="4"/>
  <c r="A1003" i="4"/>
  <c r="A1007" i="4"/>
  <c r="A1011" i="4"/>
  <c r="B1175" i="4"/>
  <c r="A1179" i="4"/>
  <c r="A1183" i="4"/>
  <c r="B1187" i="4"/>
  <c r="A1191" i="4"/>
  <c r="A1195" i="4"/>
  <c r="B1223" i="4"/>
  <c r="A1231" i="4"/>
  <c r="A1235" i="4"/>
  <c r="A1239" i="4"/>
  <c r="A1287" i="4"/>
  <c r="B1287" i="4"/>
  <c r="A1291" i="4"/>
  <c r="B1291" i="4"/>
  <c r="A1295" i="4"/>
  <c r="B1295" i="4"/>
  <c r="A1299" i="4"/>
  <c r="B1299" i="4"/>
  <c r="A1307" i="4"/>
  <c r="B1307" i="4"/>
  <c r="A1311" i="4"/>
  <c r="B1311" i="4"/>
  <c r="A1315" i="4"/>
  <c r="B1315" i="4"/>
  <c r="A1319" i="4"/>
  <c r="B1319" i="4"/>
  <c r="A1323" i="4"/>
  <c r="A1327" i="4"/>
  <c r="A1331" i="4"/>
  <c r="A1335" i="4"/>
  <c r="A1339" i="4"/>
  <c r="A1343" i="4"/>
  <c r="AJ6" i="9"/>
  <c r="AF5" i="9"/>
  <c r="AG5" i="9" s="1"/>
  <c r="AH6" i="8"/>
  <c r="AJ5" i="9"/>
  <c r="AF5" i="14"/>
  <c r="AH6" i="14"/>
  <c r="Z5" i="14"/>
  <c r="AH5" i="14"/>
  <c r="AI6" i="14"/>
  <c r="AI5" i="14"/>
  <c r="AL5" i="14"/>
  <c r="AN5" i="14"/>
  <c r="AL6" i="14"/>
  <c r="AN6" i="14"/>
  <c r="W5" i="8"/>
  <c r="AC5" i="8"/>
  <c r="AD5" i="8"/>
  <c r="AE5" i="8" s="1"/>
  <c r="AH5" i="8"/>
  <c r="AH7" i="8" l="1"/>
  <c r="L5" i="12"/>
  <c r="C6" i="18" s="1"/>
  <c r="J3" i="16"/>
  <c r="K3" i="16" s="1"/>
  <c r="K5" i="16" s="1"/>
  <c r="C10" i="18" s="1"/>
  <c r="AN7" i="14"/>
  <c r="AJ8" i="9"/>
  <c r="AH8" i="8"/>
  <c r="AL7" i="13"/>
  <c r="C13" i="17"/>
  <c r="H4" i="15" l="1"/>
  <c r="H3" i="15" l="1"/>
  <c r="H5" i="15" s="1"/>
  <c r="C9" i="18" s="1"/>
  <c r="C11" i="18" s="1"/>
  <c r="C13" i="18" s="1"/>
  <c r="C14" i="18" s="1"/>
  <c r="C15" i="18" s="1"/>
</calcChain>
</file>

<file path=xl/sharedStrings.xml><?xml version="1.0" encoding="utf-8"?>
<sst xmlns="http://schemas.openxmlformats.org/spreadsheetml/2006/main" count="3534" uniqueCount="1151">
  <si>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</si>
  <si>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</si>
  <si>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</si>
  <si>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</si>
  <si>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</si>
  <si>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</si>
  <si>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</si>
  <si>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</si>
  <si>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</si>
  <si>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</si>
  <si>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</si>
  <si>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</si>
  <si>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</si>
  <si>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</si>
  <si>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</si>
  <si>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</si>
  <si>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</si>
  <si>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</si>
  <si>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</si>
  <si>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</si>
  <si>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</si>
  <si>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</si>
  <si>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</si>
  <si>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</si>
  <si>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</si>
  <si>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</si>
  <si>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</si>
  <si>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</si>
  <si>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</si>
  <si>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</si>
  <si>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</si>
  <si>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</si>
  <si>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</si>
  <si>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</si>
  <si>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</si>
  <si>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</si>
  <si>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</si>
  <si>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</si>
  <si>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</si>
  <si>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</si>
  <si>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</si>
  <si>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</si>
  <si>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</si>
  <si>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</si>
  <si>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</si>
  <si>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</si>
  <si>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</si>
  <si>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</si>
  <si>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</si>
  <si>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</si>
  <si>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</si>
  <si>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</si>
  <si>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</si>
  <si>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</si>
  <si>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</si>
  <si>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</si>
  <si>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</si>
  <si>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</si>
  <si>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</si>
  <si>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</si>
  <si>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</si>
  <si>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</si>
  <si>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</si>
  <si>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</si>
  <si>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</si>
  <si>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</si>
  <si>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</si>
  <si>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</si>
  <si>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</si>
  <si>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</si>
  <si>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</si>
  <si>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</si>
  <si>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</si>
  <si>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</si>
  <si>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</si>
  <si>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</si>
  <si>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</si>
  <si>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</si>
  <si>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</si>
  <si>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</si>
  <si>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</si>
  <si>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</si>
  <si>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</si>
  <si>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</si>
  <si>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</si>
  <si>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</si>
  <si>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</si>
  <si>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</si>
  <si>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</si>
  <si>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</si>
  <si>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</si>
  <si>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</si>
  <si>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</si>
  <si>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</si>
  <si>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</si>
  <si>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</si>
  <si>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</si>
  <si>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</si>
  <si>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</si>
  <si>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</si>
  <si>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</si>
  <si>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</si>
  <si>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</si>
  <si>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</si>
  <si>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</si>
  <si>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</si>
  <si>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</si>
  <si>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</si>
  <si>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</si>
  <si>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</si>
  <si>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</si>
  <si>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</si>
  <si>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</si>
  <si>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</si>
  <si>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</si>
  <si>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</si>
  <si>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</si>
  <si>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</si>
  <si>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</si>
  <si>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</si>
  <si>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</si>
  <si>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</si>
  <si>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</si>
  <si>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</si>
  <si>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</si>
  <si>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</si>
  <si>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</si>
  <si>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</si>
  <si>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</si>
  <si>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</si>
  <si>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</si>
  <si>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</si>
  <si>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</si>
  <si>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</si>
  <si>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</si>
  <si>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</si>
  <si>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</si>
  <si>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</si>
  <si>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</si>
  <si>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</si>
  <si>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</si>
  <si>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</si>
  <si>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</si>
  <si>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</si>
  <si>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</si>
  <si>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</si>
  <si>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</si>
  <si>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</si>
  <si>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</si>
  <si>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</si>
  <si>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</si>
  <si>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</si>
  <si>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</si>
  <si>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</si>
  <si>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</si>
  <si>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</si>
  <si>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</si>
  <si>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</si>
  <si>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</si>
  <si>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</si>
  <si>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</si>
  <si>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</si>
  <si>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</si>
  <si>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</si>
  <si>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</si>
  <si>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</si>
  <si>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</si>
  <si>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</si>
  <si>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</si>
  <si>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</si>
  <si>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</si>
  <si>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</si>
  <si>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</si>
  <si>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</si>
  <si>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</si>
  <si>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</si>
  <si>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</si>
  <si>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</si>
  <si>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</si>
  <si>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</si>
  <si>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</si>
  <si>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</si>
  <si>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</si>
  <si>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</si>
  <si>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</si>
  <si>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</si>
  <si>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</si>
  <si>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</si>
  <si>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</si>
  <si>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</si>
  <si>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</si>
  <si>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</si>
  <si>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</si>
  <si>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</si>
  <si>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</si>
  <si>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</si>
  <si>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</si>
  <si>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</si>
  <si>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</si>
  <si>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</si>
  <si>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</si>
  <si>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</si>
  <si>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</si>
  <si>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</si>
  <si>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</si>
  <si>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</si>
  <si>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</si>
  <si>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</si>
  <si>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</si>
  <si>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</si>
  <si>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</si>
  <si>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</si>
  <si>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</si>
  <si>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</si>
  <si>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</si>
  <si>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</si>
  <si>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</si>
  <si>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</si>
  <si>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</si>
  <si>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A29:A30</t>
  </si>
  <si>
    <t>X</t>
  </si>
  <si>
    <t>crit9</t>
  </si>
  <si>
    <t>A33:A34</t>
  </si>
  <si>
    <t>Z</t>
  </si>
  <si>
    <t>crit10</t>
  </si>
  <si>
    <t>A37:A38</t>
  </si>
  <si>
    <t>AC</t>
  </si>
  <si>
    <t>crit11</t>
  </si>
  <si>
    <t>A41:A42</t>
  </si>
  <si>
    <t>AD</t>
  </si>
  <si>
    <t>crit12</t>
  </si>
  <si>
    <t>A45:A46</t>
  </si>
  <si>
    <t>AF</t>
  </si>
  <si>
    <t>crit13</t>
  </si>
  <si>
    <t>A49:A50</t>
  </si>
  <si>
    <t>AH</t>
  </si>
  <si>
    <t>crit14</t>
  </si>
  <si>
    <t>A53:A54</t>
  </si>
  <si>
    <t>AI</t>
  </si>
  <si>
    <t>crit15</t>
  </si>
  <si>
    <t>A57:B58</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</si>
  <si>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</si>
  <si>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</si>
  <si>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</si>
  <si>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</si>
  <si>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</si>
  <si>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</si>
  <si>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</si>
  <si>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</si>
  <si>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</si>
  <si>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</si>
  <si>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</si>
  <si>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</si>
  <si>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</si>
  <si>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</si>
  <si>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</si>
  <si>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</si>
  <si>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</si>
  <si>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</si>
  <si>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</si>
  <si>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</si>
  <si>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</si>
  <si>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</si>
  <si>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</si>
  <si>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</si>
  <si>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</si>
  <si>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</si>
  <si>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</si>
  <si>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</si>
  <si>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</si>
  <si>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A113:B114</t>
  </si>
  <si>
    <t>crit30</t>
  </si>
  <si>
    <t>A117:B118</t>
  </si>
  <si>
    <t>Y</t>
  </si>
  <si>
    <t>crit31</t>
  </si>
  <si>
    <t>A121:C122</t>
  </si>
  <si>
    <t>AA</t>
  </si>
  <si>
    <t>crit32</t>
  </si>
  <si>
    <t>A125:C126</t>
  </si>
  <si>
    <t>AB</t>
  </si>
  <si>
    <t>crit33</t>
  </si>
  <si>
    <t>A129:C130</t>
  </si>
  <si>
    <t>Res</t>
  </si>
  <si>
    <t>&lt;&gt;Resident</t>
  </si>
  <si>
    <t>&lt;&gt;Non-Resident</t>
  </si>
  <si>
    <t xml:space="preserve">'Residential Status' should contain value  'Resident' or 'Non-Resident' in following row(s): </t>
  </si>
  <si>
    <t>Type</t>
  </si>
  <si>
    <t>&lt;&gt;Primary Employee</t>
  </si>
  <si>
    <t>&lt;&gt;Secondary Employee</t>
  </si>
  <si>
    <t xml:space="preserve">'Type of Employee' should contain value 'Primary Employee' or 'Secondary Employee' in following row(s): </t>
  </si>
  <si>
    <t>A</t>
  </si>
  <si>
    <t>&lt;&gt;</t>
  </si>
  <si>
    <t xml:space="preserve">'Total Cash Pay (A)' should be blank in following row(s): </t>
  </si>
  <si>
    <t xml:space="preserve">'Total Non Cash Pay (D)=(B + C) (C if greater than 3,000)' should be blank in following row(s): </t>
  </si>
  <si>
    <t>F</t>
  </si>
  <si>
    <t xml:space="preserve">'Computed Rent of House (F)' should be blank in following row(s):  </t>
  </si>
  <si>
    <t>H</t>
  </si>
  <si>
    <t xml:space="preserve">'Net Value of Housing (Ksh) (H) = (F - G)' should be blank in following row(s): </t>
  </si>
  <si>
    <t>I</t>
  </si>
  <si>
    <t xml:space="preserve">'Total Gross Pay (Ksh) (I) = (A + D + E + H))' should be blank in following row(s): </t>
  </si>
  <si>
    <t>J</t>
  </si>
  <si>
    <t xml:space="preserve">'30% of Cash Pay (J) = (A)*30%' should be blank in following row(s): </t>
  </si>
  <si>
    <t>L</t>
  </si>
  <si>
    <t xml:space="preserve">'Permissible Limit (L)' should be blank in following row(s): </t>
  </si>
  <si>
    <t>O</t>
  </si>
  <si>
    <t xml:space="preserve">'Amount of Benefit (O) = (Lower of J,K,L + M or N which ever is higher)' should be blank in following row(s): </t>
  </si>
  <si>
    <t xml:space="preserve">'Taxable Pay (Ksh) (P) = (I - O)' should be blank in following row(s): </t>
  </si>
  <si>
    <t xml:space="preserve">'Tax Payable (Ksh) (Q) = (P)*Slab Rate' should be blank in following row(s): </t>
  </si>
  <si>
    <t xml:space="preserve">'PAYE Tax (Ksh) (T) = (Q - R - S)' should be blank in following row(s): </t>
  </si>
  <si>
    <t xml:space="preserve">Self </t>
  </si>
  <si>
    <t>=</t>
  </si>
  <si>
    <t xml:space="preserve">'Self Assessed PAYE Tax (Ksh)' should contain value in following row(s): </t>
  </si>
  <si>
    <t>E</t>
  </si>
  <si>
    <t>Housing</t>
  </si>
  <si>
    <t xml:space="preserve">As 'Type of Housing' contains 'Benefit Not Given', 'Global Income (E)'  should contain value in following row(s): </t>
  </si>
  <si>
    <t>Rent</t>
  </si>
  <si>
    <t xml:space="preserve">As 'Type of Housing' contains 'Benefit Not Given', 'Rent of House/Market Value' should be blank in following row(s): </t>
  </si>
  <si>
    <t>G</t>
  </si>
  <si>
    <t xml:space="preserve">As 'Type of Housing' contains 'Benefit Not Given', 'Rent Recovered from Employee (G)' should be blank in following row(s): </t>
  </si>
  <si>
    <t xml:space="preserve">As 'Type of Housing' contains 'House to Non full time service Director', 'Global Income (E)'  should contain value in following row(s): </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</si>
  <si>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</si>
  <si>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</si>
  <si>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</si>
  <si>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</si>
  <si>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</si>
  <si>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Owned House', 'Global Income (E)' should be blank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</si>
  <si>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</si>
  <si>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</si>
  <si>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'Employer's Rented House', 'Global Income (E)' should be blank in following row(s): </t>
  </si>
  <si>
    <t xml:space="preserve">As 'Type of Housing' contains 'Agriculture Farm', 'Global Income (E)' should be blank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</si>
  <si>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</si>
  <si>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</si>
  <si>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</si>
  <si>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'Actual Contribution (K)' should contain value in following row(s): </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</si>
  <si>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</si>
  <si>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</si>
  <si>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</si>
  <si>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</si>
  <si>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</si>
  <si>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</si>
  <si>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</si>
  <si>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Basic</t>
  </si>
  <si>
    <t>HousingAllow</t>
  </si>
  <si>
    <t>Transport</t>
  </si>
  <si>
    <t>Leave</t>
  </si>
  <si>
    <t>ot</t>
  </si>
  <si>
    <t>Director</t>
  </si>
  <si>
    <t>lumpsum</t>
  </si>
  <si>
    <t>OthrAllow</t>
  </si>
  <si>
    <t>B</t>
  </si>
  <si>
    <t>For Section C</t>
  </si>
  <si>
    <t>AE</t>
  </si>
  <si>
    <t>AG</t>
  </si>
  <si>
    <t>AJ</t>
  </si>
  <si>
    <t>AK</t>
  </si>
  <si>
    <t>crit34</t>
  </si>
  <si>
    <t>A133:C134</t>
  </si>
  <si>
    <t>crit35</t>
  </si>
  <si>
    <t>A137:C138</t>
  </si>
  <si>
    <t>crit36</t>
  </si>
  <si>
    <t>A141:C142</t>
  </si>
  <si>
    <t xml:space="preserve">'Exemption for Persons with Disability (Ksh) (P)' should be blank in following row(s): </t>
  </si>
  <si>
    <t xml:space="preserve">'Taxable Pay (Ksh) (Q)'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</si>
  <si>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</si>
  <si>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</si>
  <si>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</si>
  <si>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</si>
  <si>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</si>
  <si>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</si>
  <si>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</si>
  <si>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</si>
  <si>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For Section D</t>
  </si>
  <si>
    <t>A1:D2</t>
  </si>
  <si>
    <t>A5:C6</t>
  </si>
  <si>
    <t>A9:B10</t>
  </si>
  <si>
    <t>A13:B14</t>
  </si>
  <si>
    <t>A17:B18</t>
  </si>
  <si>
    <t>A21:B22</t>
  </si>
  <si>
    <t>A25:B26</t>
  </si>
  <si>
    <t>REFTOSec</t>
  </si>
  <si>
    <t>&lt;&gt;B_Employees_Dtls</t>
  </si>
  <si>
    <t>&lt;&gt;C_Disabled_Employees_Dtls</t>
  </si>
  <si>
    <t>&lt;&gt;G_Arrears_Dtls_E</t>
  </si>
  <si>
    <t>&lt;&gt;H_Arrears_Dtls_DE</t>
  </si>
  <si>
    <t>&lt;&gt;Saloon Hatch Backs and Estates</t>
  </si>
  <si>
    <t>&lt;&gt;Pick Ups, Panel Vans Uncovered</t>
  </si>
  <si>
    <t>&lt;&gt;Land Rovers/ Cruisers(excludes Range Rovers and vehicles of similar nature)</t>
  </si>
  <si>
    <t xml:space="preserve">'Body Type' should contain value 'Saloon Hatch Backs and Estates' or 'Pick Ups, Panel Vans Uncovered' or 'Land Rovers/Cruisers(excludes Range Rovers and vehicles of similar nature)' in following row(s): </t>
  </si>
  <si>
    <t>TypeOfCar</t>
  </si>
  <si>
    <t>&lt;&gt;Owned</t>
  </si>
  <si>
    <t>&lt;&gt;Hired</t>
  </si>
  <si>
    <t xml:space="preserve">'Type of Car Cost'  should contain value 'Owned' or 'Hired' in following row(s): </t>
  </si>
  <si>
    <t>HiredCost</t>
  </si>
  <si>
    <t xml:space="preserve">As 'Type of Car Cost' contains 'Owned', 'Cost of Hiring / Leasing (Ksh)' should be blank in following row(s): </t>
  </si>
  <si>
    <t>OwnedCost</t>
  </si>
  <si>
    <t xml:space="preserve">As 'Type of Car Cost' contains 'Hired', 'Cost of Owned Car (Ksh)' should be blank in following row(s): </t>
  </si>
  <si>
    <t>RegNo</t>
  </si>
  <si>
    <t>Make</t>
  </si>
  <si>
    <t>CCRating</t>
  </si>
  <si>
    <t>FOR SECTION F</t>
  </si>
  <si>
    <t>DueYear</t>
  </si>
  <si>
    <t>&lt;1998</t>
  </si>
  <si>
    <t xml:space="preserve">'Lump Sum Payment Due Year' should contain value in range from 1998 to current financial year in following row(s): </t>
  </si>
  <si>
    <t>PayYear</t>
  </si>
  <si>
    <t xml:space="preserve">'Lump Sum Payment Paid Year' should contain value in range from 1998 to current financial year in following row(s): </t>
  </si>
  <si>
    <t xml:space="preserve">'Total Revised Income (Ksh) (C)= (A+B)' should be blank in following row(s): </t>
  </si>
  <si>
    <t xml:space="preserve">'PAYE Deducted on Revised Income (Ksh) (D)' should be blank in following row(s): </t>
  </si>
  <si>
    <t>PIN of Employee</t>
  </si>
  <si>
    <t>Name of Employee</t>
  </si>
  <si>
    <t>Employment Start Date</t>
  </si>
  <si>
    <t>Employment End Date</t>
  </si>
  <si>
    <t>Amount of Gross Lump Sum Payment (Ksh) (A)</t>
  </si>
  <si>
    <t>Emoluments of Lump Sum Payment Due Year (Ksh) / Emoluments of Lump Sum Payment Due Month (Ksh) (B)</t>
  </si>
  <si>
    <t>Section G</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</si>
  <si>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</si>
  <si>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</si>
  <si>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</si>
  <si>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</si>
  <si>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</si>
  <si>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</si>
  <si>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</si>
  <si>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</si>
  <si>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</si>
  <si>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</si>
  <si>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</si>
  <si>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</si>
  <si>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</si>
  <si>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</si>
  <si>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</si>
  <si>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</si>
  <si>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</si>
  <si>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</si>
  <si>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</si>
  <si>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</si>
  <si>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</si>
  <si>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</si>
  <si>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</si>
  <si>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</si>
  <si>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</si>
  <si>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</si>
  <si>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</si>
  <si>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</si>
  <si>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</si>
  <si>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</si>
  <si>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</si>
  <si>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</si>
  <si>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</si>
  <si>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</si>
  <si>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</si>
  <si>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</si>
  <si>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</si>
  <si>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</si>
  <si>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</si>
  <si>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</si>
  <si>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</si>
  <si>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</si>
  <si>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</si>
  <si>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</si>
  <si>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</si>
  <si>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</si>
  <si>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</si>
  <si>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</si>
  <si>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</si>
  <si>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</si>
  <si>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</si>
  <si>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</si>
  <si>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</si>
  <si>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</si>
  <si>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</si>
  <si>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</si>
  <si>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</si>
  <si>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</si>
  <si>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</si>
  <si>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</si>
  <si>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</si>
  <si>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</si>
  <si>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</si>
  <si>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</si>
  <si>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</si>
  <si>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</si>
  <si>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</si>
  <si>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</si>
  <si>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</si>
  <si>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</si>
  <si>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</si>
  <si>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</si>
  <si>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</si>
  <si>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</si>
  <si>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</si>
  <si>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</si>
  <si>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L_Tax_Due</t>
  </si>
  <si>
    <t>Previous month PAYE Tax</t>
  </si>
  <si>
    <t>IF(RtnInf.EntityType="Head Office",isMandatory(ClcTaxDue.PrevMonPaye,"Y"),"NE")</t>
  </si>
  <si>
    <t>Section L : Calculation of Tax Due</t>
  </si>
  <si>
    <t>K_PAYE_Payment_Credits</t>
  </si>
  <si>
    <t>Section K : Details of PAYE Tax paid</t>
  </si>
  <si>
    <t>isMandatory(DtlsPayeFinalTaxPdTO,"N")</t>
  </si>
  <si>
    <t>validateAdvTax1(ClcTaxDue.TotTaxPybl,DtlsPayeFinalTaxPdTO,DtlsPayeTaxPaidAdvListTO,DtlsPayeSelfAssTaxListTO)</t>
  </si>
  <si>
    <t>You do not have any net tax payable in L_Tax_Due (11) for the period. You cannot declare self assessment tax / advance payment details.</t>
  </si>
  <si>
    <t>validateAdvTax2(ClcTaxDue.TotTaxPybl,DtlsPayeFinalTaxPdTO,DtlsPayeTaxPaidAdvListTO,DtlsPayeSelfAssTaxListTO)</t>
  </si>
  <si>
    <t>You have declared the self assessment tax as well as advance payment details. The total amount declared is more than  the net tax payable  in L_Tax_Due (11). Please restrict the amount to net tax payable first adjusting through self assessment tax and then through advance payment.</t>
  </si>
  <si>
    <t>Section K2 : Self Assessment Tax</t>
  </si>
  <si>
    <t>validateAdvTax3(ClcTaxDue.TotTaxPybl,DtlsPayeFinalTaxPdTO,DtlsPayeTaxPaidAdvListTO,DtlsPayeSelfAssTaxListTO)</t>
  </si>
  <si>
    <t>You have declared the self assessment tax payment details. The total amount declared in self assessment tax paid is more than the net tax payable in L_Tax_Due (11). Please restrict the amount to net tax payable.</t>
  </si>
  <si>
    <t>Section K1 : Advance Payment</t>
  </si>
  <si>
    <t>validateAdvTax4(ClcTaxDue.TotTaxPybl,DtlsPayeFinalTaxPdTO,DtlsPayeTaxPaidAdvListTO,DtlsPayeSelfAssTaxListTO)</t>
  </si>
  <si>
    <t>You have declared the advance payment details. The total amount declared in advance payment paid is more than the net tax payable in L_Tax_Due (11). Please restrict the amount to net tax payable.</t>
  </si>
  <si>
    <t>Category</t>
  </si>
  <si>
    <t>Column Name &amp; Validation</t>
  </si>
  <si>
    <t>Name of the  Employee</t>
  </si>
  <si>
    <t>Residential Status</t>
  </si>
  <si>
    <t>Type of Employee</t>
  </si>
  <si>
    <t>Other Non cash Benefits</t>
  </si>
  <si>
    <t>Global Income (In case of non full time service Director)</t>
  </si>
  <si>
    <t>Type of Housing</t>
  </si>
  <si>
    <t>Rent of House</t>
  </si>
  <si>
    <t>Rent Recovered from Employee</t>
  </si>
  <si>
    <t>Actual Contribution</t>
  </si>
  <si>
    <t>Mortgage Interest</t>
  </si>
  <si>
    <t>Deposit on Home Ownership Saving Plan</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</si>
  <si>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</si>
  <si>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</si>
  <si>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</si>
  <si>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</si>
  <si>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</si>
  <si>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</si>
  <si>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</si>
  <si>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</si>
  <si>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</si>
  <si>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</si>
  <si>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</si>
  <si>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</si>
  <si>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</si>
  <si>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</si>
  <si>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</si>
  <si>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</si>
  <si>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</si>
  <si>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</si>
  <si>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</si>
  <si>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</si>
  <si>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</si>
  <si>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isMandatory(DtlsSalPdBftsPayeDedFrmEmp.List,"Y","Y")</t>
  </si>
  <si>
    <t>isMandatory(DtlsSalPdBftsPayeDedFrmEmp.List,"Y","AA")</t>
  </si>
  <si>
    <t>isMandatory(DtlsSalPdBftsPayeDedFrmEmp.List,"Y","AB")</t>
  </si>
  <si>
    <t>isMandatory(DtlsSalPdBftsPayeDedFrmEmp.List,"Y","AF")</t>
  </si>
  <si>
    <t>isMandatory(DtlsSalPdBftsPayeDedFrmEmp.List,"Y","AI")</t>
  </si>
  <si>
    <t>isMandatory(DtlsSalPdBftsPayeDedFrmEmp.List,"N","AG")</t>
  </si>
  <si>
    <t>validateTaxPyrPIN(DtlsSalPdBftsPayeDedFrmEmp.List,"A")</t>
  </si>
  <si>
    <t>validateAlphaNumeric(DtlsSalPdBftsPayeDedFrmEmp.List,"B")</t>
  </si>
  <si>
    <t>validateCurrencyFormat(DtlsSalPdBftsPayeDedFrmEmp.List,"E")</t>
  </si>
  <si>
    <t>validateCurrencyFormat(DtlsSalPdBftsPayeDedFrmEmp.List,"F")</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</si>
  <si>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</si>
  <si>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</si>
  <si>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</si>
  <si>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</si>
  <si>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validateCurrencyFormat(DtlsSalPdBftsPayeDedFrmEmp.List,"K")</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</si>
  <si>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</si>
  <si>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</si>
  <si>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</si>
  <si>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</si>
  <si>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</si>
  <si>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validateCurrencyFormat(DtlsSalPdBftsPayeDedFrmEmp.List,"Y")</t>
  </si>
  <si>
    <t>validateCurrencyFormat(DtlsSalPdBftsPayeDedFrmEmp.List,"AA")</t>
  </si>
  <si>
    <t>validateCurrencyFormat(DtlsSalPdBftsPayeDedFrmEmp.List,"AB")</t>
  </si>
  <si>
    <t>validateCurrencyFormat(DtlsSalPdBftsPayeDedFrmEmp.List,"N")</t>
  </si>
  <si>
    <t>validateCurrencyFormat(DtlsSalPdBftsPayeDedFrmEmp.List,"AI")</t>
  </si>
  <si>
    <t>validateCurrencyFormat(DtlsSalPdBftsPayeDedFrmEmp.List,"AG")</t>
  </si>
  <si>
    <t>Exemption Certificate Number</t>
  </si>
  <si>
    <t>Section C : Details of Salary and Benefits paid and PAYE deducted from Persons with Disability</t>
  </si>
  <si>
    <t>isMandatory(DtlsSalPdBftsPayeDedFrmDsblEmp.List,"Y","A")</t>
  </si>
  <si>
    <t>isMandatory(DtlsSalPdBftsPayeDedFrmDsblEmp.List,"Y","B")</t>
  </si>
  <si>
    <t>isMandatory(DtlsSalPdBftsPayeDedFrmDsblEmp.List,"Y","C")</t>
  </si>
  <si>
    <t>isMandatory(DtlsSalPdBftsPayeDedFrmDsblEmp.List,"Y","D")</t>
  </si>
  <si>
    <t>isMandatory(DtlsSalPdBftsPayeDedFrmDsblEmp.List,"Y","E")</t>
  </si>
  <si>
    <t>isMandatory(DtlsSalPdBftsPayeDedFrmDsblEmp.List,"Y","F")</t>
  </si>
  <si>
    <t>isMandatory(DtlsSalPdBftsPayeDedFrmDsblEmp.List,"Y","G")</t>
  </si>
  <si>
    <t>isMandatory(DtlsSalPdBftsPayeDedFrmDsblEmp.List,"Y","H")</t>
  </si>
  <si>
    <t>isMandatory(DtlsSalPdBftsPayeDedFrmDsblEmp.List,"Y","I")</t>
  </si>
  <si>
    <t>isMandatory(DtlsSalPdBftsPayeDedFrmDsblEmp.List,"Y","J")</t>
  </si>
  <si>
    <t>isMandatory(DtlsSalPdBftsPayeDedFrmDsblEmp.List,"Y","K")</t>
  </si>
  <si>
    <t>isMandatory(DtlsSalPdBftsPayeDedFrmDsblEmp.List,"Y","L")</t>
  </si>
  <si>
    <t>isMandatory(DtlsSalPdBftsPayeDedFrmDsblEmp.List,"Y","M")</t>
  </si>
  <si>
    <t>isMandatory(DtlsSalPdBftsPayeDedFrmDsblEmp.List,"Y","P")</t>
  </si>
  <si>
    <t>isMandatory(DtlsSalPdBftsPayeDedFrmDsblEmp.List,"Y","R")</t>
  </si>
  <si>
    <t>isMandatory(DtlsSalPdBftsPayeDedFrmDsblEmp.List,"Y","S")</t>
  </si>
  <si>
    <t>isMandatory(DtlsSalPdBftsPayeDedFrmDsblEmp.List,"Y","T")</t>
  </si>
  <si>
    <t>isMandatory(DtlsSalPdBftsPayeDedFrmDsblEmp.List,"Y","V")</t>
  </si>
  <si>
    <t>isMandatory(DtlsSalPdBftsPayeDedFrmDsblEmp.List,"Y","Z")</t>
  </si>
  <si>
    <t>isMandatory(DtlsSalPdBftsPayeDedFrmDsblEmp.List,"Y","AB")</t>
  </si>
  <si>
    <t>isMandatory(DtlsSalPdBftsPayeDedFrmDsblEmp.List,"Y","AC")</t>
  </si>
  <si>
    <t>isMandatory(DtlsSalPdBftsPayeDedFrmDsblEmp.List,"Y","AH")</t>
  </si>
  <si>
    <t>isMandatory(DtlsSalPdBftsPayeDedFrmDsblEmp.List,"Y","AK")</t>
  </si>
  <si>
    <t>isMandatory(DtlsSalPdBftsPayeDedFrmDsblEmp.List,"N","AI")</t>
  </si>
  <si>
    <t>validateTaxPyrPIN(DtlsSalPdBftsPayeDedFrmDsblEmp.List,"A")</t>
  </si>
  <si>
    <t>validateAlphaNumeric(DtlsSalPdBftsPayeDedFrmDsblEmp.List,"B")</t>
  </si>
  <si>
    <t>validateCurrencyFormat(DtlsSalPdBftsPayeDedFrmDsblEmp.List,"F")</t>
  </si>
  <si>
    <t>validateCurrencyFormat(DtlsSalPdBftsPayeDedFrmDsblEmp.List,"G")</t>
  </si>
  <si>
    <t>validateCurrencyFormat(DtlsSalPdBftsPayeDedFrmDsblEmp.List,"H")</t>
  </si>
  <si>
    <t>validateCurrencyFormat(DtlsSalPdBftsPayeDedFrmDsblEmp.List,"I")</t>
  </si>
  <si>
    <t>validateCurrencyFormat(DtlsSalPdBftsPayeDedFrmDsblEmp.List,"J")</t>
  </si>
  <si>
    <t>validateCurrencyFormat(DtlsSalPdBftsPayeDedFrmDsblEmp.List,"K")</t>
  </si>
  <si>
    <t>validateCurrencyFormat(DtlsSalPdBftsPayeDedFrmDsblEmp.List,"L")</t>
  </si>
  <si>
    <t>validateCurrencyFormat(DtlsSalPdBftsPayeDedFrmDsblEmp.List,"M")</t>
  </si>
  <si>
    <t>validateCurrencyFormat(DtlsSalPdBftsPayeDedFrmDsblEmp.List,"P")</t>
  </si>
  <si>
    <t>validateCurrencyFormat(DtlsSalPdBftsPayeDedFrmDsblEmp.List,"R")</t>
  </si>
  <si>
    <t>validateCurrencyFormat(DtlsSalPdBftsPayeDedFrmDsblEmp.List,"T")</t>
  </si>
  <si>
    <t>validateCurrencyFormat(DtlsSalPdBftsPayeDedFrmDsblEmp.List,"V")</t>
  </si>
  <si>
    <t>validateCurrencyFormat(DtlsSalPdBftsPayeDedFrmDsblEmp.List,"Z")</t>
  </si>
  <si>
    <t>validateCurrencyFormat(DtlsSalPdBftsPayeDedFrmDsblEmp.List,"AB")</t>
  </si>
  <si>
    <t>validateCurrencyFormat(DtlsSalPdBftsPayeDedFrmDsblEmp.List,"AC")</t>
  </si>
  <si>
    <t>validateCurrencyFormat(DtlsSalPdBftsPayeDedFrmDsblEmp.List,"AH")</t>
  </si>
  <si>
    <t>validateCurrencyFormat(DtlsSalPdBftsPayeDedFrmDsblEmp.List,"AK")</t>
  </si>
  <si>
    <t>validateCurrencyFormat(DtlsSalPdBftsPayeDedFrmDsblEmp.List,"AI")</t>
  </si>
  <si>
    <t>validateRespectiveMonthAmount(DtlsSalPdBftsPayeDedFrmDsblEmp.List,12500,"AB")</t>
  </si>
  <si>
    <t>validateRespectiveMonthAmount(DtlsSalPdBftsPayeDedFrmDsblEmp.List,4000,"AC")</t>
  </si>
  <si>
    <t>validateRespectiveMonthAmount(DtlsSalPdBftsPayeDedFrmDsblEmp.List,1162,"AH")</t>
  </si>
  <si>
    <t>Please enter Mortgage Interest respective month in C_Disabled_Employees_Dtls</t>
  </si>
  <si>
    <t>Please enter Deposit on Home Ownership Saving Plan respective month in C_Disabled_Employees_Dtls</t>
  </si>
  <si>
    <t>Please enter Monthly Personal Relief respective month in C_Disabled_Employees_Dtls</t>
  </si>
  <si>
    <t>D_Computation_of_Car_Benefit</t>
  </si>
  <si>
    <t>Reference to Section</t>
  </si>
  <si>
    <t>Car Registration Number</t>
  </si>
  <si>
    <t>Body Type</t>
  </si>
  <si>
    <t>CC Rating</t>
  </si>
  <si>
    <t>Type of Car Cost</t>
  </si>
  <si>
    <t>Cost of Hiring / Leasing</t>
  </si>
  <si>
    <t>Cost of Owned Car</t>
  </si>
  <si>
    <t>Value of Car Benefit</t>
  </si>
  <si>
    <t>Section D : Computation of Value of Car Benefit</t>
  </si>
  <si>
    <t>isMandatory(CarBenefit.List,"Y","A")</t>
  </si>
  <si>
    <t>isMandatory(CarBenefit.List,"Y","B")</t>
  </si>
  <si>
    <t>isMandatory(CarBenefit.List,"Y","C")</t>
  </si>
  <si>
    <t>isMandatory(CarBenefit.List,"Y","D")</t>
  </si>
  <si>
    <t>isMandatory(CarBenefit.List,"Y","E")</t>
  </si>
  <si>
    <t>isMandatory(CarBenefit.List,"Y","F")</t>
  </si>
  <si>
    <t>isMandatory(CarBenefit.List,"Y","G")</t>
  </si>
  <si>
    <t>isMandatory(CarBenefit.List,"Y","H")</t>
  </si>
  <si>
    <t>isMandatory(CarBenefit.List,"Y","I")</t>
  </si>
  <si>
    <t>isMandatory(CarBenefit.List,"N","J")</t>
  </si>
  <si>
    <t>validateTaxPyrPIN(CarBenefit.List,"A")</t>
  </si>
  <si>
    <t>validateAlphaNumeric(CarBenefit.List,"C")</t>
  </si>
  <si>
    <t>validateAlphaNumeric(CarBenefit.List,"D")</t>
  </si>
  <si>
    <t>validateCurrencyFormat(CarBenefit.List,"F")</t>
  </si>
  <si>
    <t>validateCurrencyFormat(CarBenefit.List,"H")</t>
  </si>
  <si>
    <t>validateCurrencyFormat(CarBenefit.List,"I")</t>
  </si>
  <si>
    <t>validateCurrencyFormat(CarBenefit.List,"J")</t>
  </si>
  <si>
    <t>E_Computation_of_Insu_Relief</t>
  </si>
  <si>
    <t>PIN of Insurance Company</t>
  </si>
  <si>
    <t>Name of Insurance Company</t>
  </si>
  <si>
    <t>Purpose of Policy</t>
  </si>
  <si>
    <t>Insurance Policy Number</t>
  </si>
  <si>
    <t>Policy Holder</t>
  </si>
  <si>
    <t>Age of Child</t>
  </si>
  <si>
    <t>Commencement Date</t>
  </si>
  <si>
    <t>Maturity Date</t>
  </si>
  <si>
    <t>Sum Assured</t>
  </si>
  <si>
    <t>Premium paid till month (Ksh) (A)</t>
  </si>
  <si>
    <t>Date of payment of premium</t>
  </si>
  <si>
    <t>Section E : Details of Insurance Relief</t>
  </si>
  <si>
    <t>isMandatory(InsReliefDtls.List,"Y","A")</t>
  </si>
  <si>
    <t>isMandatory(InsReliefDtls.List,"Y","B")</t>
  </si>
  <si>
    <t>isMandatory(InsReliefDtls.List,"Y","C")</t>
  </si>
  <si>
    <t>isMandatory(InsReliefDtls.List,"Y","D")</t>
  </si>
  <si>
    <t>isMandatory(InsReliefDtls.List,"Y","E")</t>
  </si>
  <si>
    <t>isMandatory(InsReliefDtls.List,"Y","F")</t>
  </si>
  <si>
    <t>isMandatory(InsReliefDtls.List,"Y","G")</t>
  </si>
  <si>
    <t>isMandatory(InsReliefDtls.List,"N","H")</t>
  </si>
  <si>
    <t>isMandatory(InsReliefDtls.List,"Y","I")</t>
  </si>
  <si>
    <t>isMandatory(InsReliefDtls.List,"Y","J")</t>
  </si>
  <si>
    <t>isMandatory(InsReliefDtls.List,"Y","K")</t>
  </si>
  <si>
    <t>isMandatory(InsReliefDtls.List,"Y","L")</t>
  </si>
  <si>
    <t>isMandatory(InsReliefDtls.List,"Y","M")</t>
  </si>
  <si>
    <t>validateTaxPyrPIN(InsReliefDtls.List,"A")</t>
  </si>
  <si>
    <t>validateTaxPyrPIN(InsReliefDtls.List,"C")</t>
  </si>
  <si>
    <t>validateAlphaNumeric(InsReliefDtls.List,"D")</t>
  </si>
  <si>
    <t>validateAlphaNumeric(InsReliefDtls.List,"F")</t>
  </si>
  <si>
    <t>validateCurrencyFormat(InsReliefDtls.List,"H")</t>
  </si>
  <si>
    <t>validateNumeric(InsReliefDtls.List,"K")</t>
  </si>
  <si>
    <t>validateNumeric(InsReliefDtls.List,"L")</t>
  </si>
  <si>
    <t>F_Lump_Sum_Payments_Dtls</t>
  </si>
  <si>
    <t>Lump Sum Payment Paid Year</t>
  </si>
  <si>
    <t>Amount of Gross Lump Sum Payment</t>
  </si>
  <si>
    <t>Emoluments of Lump Sum Payment Due Year/ Emoluments of Lump Sum Payment Due Month</t>
  </si>
  <si>
    <t>PAYE Paid in Lump Sum Payment Due Year/ Lump Sum Payment Due Month</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</si>
  <si>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</si>
  <si>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</si>
  <si>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</si>
  <si>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</si>
  <si>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</si>
  <si>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</si>
  <si>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</si>
  <si>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</si>
  <si>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</si>
  <si>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</si>
  <si>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</si>
  <si>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</si>
  <si>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validateNumeric(TaxPdOnLumpSumPdAftrTrmtn.List,"E")</t>
  </si>
  <si>
    <t>validateNumeric(TaxPdOnLumpSumPdAftrTrmtn.List,"F")</t>
  </si>
  <si>
    <t>validateNumeric(TaxPdOnLumpSumPdAftrTrmtn.List,"G")</t>
  </si>
  <si>
    <t>validateNumeric(TaxPdOnLumpSumPdAftrTrmtn.List,"H")</t>
  </si>
  <si>
    <t>validateNumeric(TaxPdOnLumpSumPdAftrTrmtn.List,"K")</t>
  </si>
  <si>
    <t>Arrears for the Month</t>
  </si>
  <si>
    <t>Arrears Year</t>
  </si>
  <si>
    <t xml:space="preserve">Amount of PAYE Already Paid </t>
  </si>
  <si>
    <t>Section G : Details of Arrears of Salary and  Benefits</t>
  </si>
  <si>
    <t>isMandatory(DtlsArrSalPdBftsPayeDedFrmEmp.List,"Y","A")</t>
  </si>
  <si>
    <t>isMandatory(DtlsArrSalPdBftsPayeDedFrmEmp.List,"Y","B")</t>
  </si>
  <si>
    <t>isMandatory(DtlsArrSalPdBftsPayeDedFrmEmp.List,"Y","C")</t>
  </si>
  <si>
    <t>isMandatory(DtlsArrSalPdBftsPayeDedFrmEmp.List,"Y","D")</t>
  </si>
  <si>
    <t>isMandatory(DtlsArrSalPdBftsPayeDedFrmEmp.List,"Y","E")</t>
  </si>
  <si>
    <t>isMandatory(DtlsArrSalPdBftsPayeDedFrmEmp.List,"Y","F")</t>
  </si>
  <si>
    <t>isMandatory(DtlsArrSalPdBftsPayeDedFrmEmp.List,"Y","G")</t>
  </si>
  <si>
    <t>isMandatory(DtlsArrSalPdBftsPayeDedFrmEmp.List,"Y","H")</t>
  </si>
  <si>
    <t>isMandatory(DtlsArrSalPdBftsPayeDedFrmEmp.List,"Y","I")</t>
  </si>
  <si>
    <t>isMandatory(DtlsArrSalPdBftsPayeDedFrmEmp.List,"Y","J")</t>
  </si>
  <si>
    <t>isMandatory(DtlsArrSalPdBftsPayeDedFrmEmp.List,"Y","K")</t>
  </si>
  <si>
    <t>isMandatory(DtlsArrSalPdBftsPayeDedFrmEmp.List,"Y","L")</t>
  </si>
  <si>
    <t>isMandatory(DtlsArrSalPdBftsPayeDedFrmEmp.List,"Y","M")</t>
  </si>
  <si>
    <t>isMandatory(DtlsArrSalPdBftsPayeDedFrmEmp.List,"Y","N")</t>
  </si>
  <si>
    <t>isMandatory(DtlsArrSalPdBftsPayeDedFrmEmp.List,"Y","Q")</t>
  </si>
  <si>
    <t>isMandatory(DtlsArrSalPdBftsPayeDedFrmEmp.List,"Y","S")</t>
  </si>
  <si>
    <t>isMandatory(DtlsArrSalPdBftsPayeDedFrmEmp.List,"Y","T")</t>
  </si>
  <si>
    <t>isMandatory(DtlsArrSalPdBftsPayeDedFrmEmp.List,"Y","U")</t>
  </si>
  <si>
    <t>isMandatory(DtlsArrSalPdBftsPayeDedFrmEmp.List,"Y","W")</t>
  </si>
  <si>
    <t>isMandatory(DtlsArrSalPdBftsPayeDedFrmEmp.List,"Y","AA")</t>
  </si>
  <si>
    <t>isMandatory(DtlsArrSalPdBftsPayeDedFrmEmp.List,"Y","AC")</t>
  </si>
  <si>
    <t>isMandatory(DtlsArrSalPdBftsPayeDedFrmEmp.List,"Y","AD")</t>
  </si>
  <si>
    <t>isMandatory(DtlsArrSalPdBftsPayeDedFrmEmp.List,"Y","AH")</t>
  </si>
  <si>
    <t>isMandatory(DtlsArrSalPdBftsPayeDedFrmEmp.List,"Y","AK")</t>
  </si>
  <si>
    <t>isMandatory(DtlsArrSalPdBftsPayeDedFrmEmp.List,"Y","AM")</t>
  </si>
  <si>
    <t>isMandatory(DtlsArrSalPdBftsPayeDedFrmEmp.List,"N","AI")</t>
  </si>
  <si>
    <t>validateTaxPyrPIN(DtlsArrSalPdBftsPayeDedFrmEmp.List,"A")</t>
  </si>
  <si>
    <t>validateAlphaNumeric(DtlsArrSalPdBftsPayeDedFrmEmp.List,"B")</t>
  </si>
  <si>
    <t>validateArrearsDateDiff(DtlsArrSalPdBftsPayeDedFrmEmp.List,"C","AP","D")</t>
  </si>
  <si>
    <t>validateCurrencyFormat(DtlsArrSalPdBftsPayeDedFrmEmp.List,"G")</t>
  </si>
  <si>
    <t>validateCurrencyFormat(DtlsArrSalPdBftsPayeDedFrmEmp.List,"H")</t>
  </si>
  <si>
    <t>validateCurrencyFormat(DtlsArrSalPdBftsPayeDedFrmEmp.List,"I")</t>
  </si>
  <si>
    <t>validateCurrencyFormat(DtlsArrSalPdBftsPayeDedFrmEmp.List,"J")</t>
  </si>
  <si>
    <t>validateCurrencyFormat(DtlsArrSalPdBftsPayeDedFrmEmp.List,"K")</t>
  </si>
  <si>
    <t>validateCurrencyFormat(DtlsArrSalPdBftsPayeDedFrmEmp.List,"L")</t>
  </si>
  <si>
    <t>validateCurrencyFormat(DtlsArrSalPdBftsPayeDedFrmEmp.List,"M")</t>
  </si>
  <si>
    <t>validateCurrencyFormat(DtlsArrSalPdBftsPayeDedFrmEmp.List,"N")</t>
  </si>
  <si>
    <t>validateCurrencyFormat(DtlsArrSalPdBftsPayeDedFrmEmp.List,"Q")</t>
  </si>
  <si>
    <t>validateCurrencyFormat(DtlsArrSalPdBftsPayeDedFrmEmp.List,"S")</t>
  </si>
  <si>
    <t>validateCurrencyFormat(DtlsArrSalPdBftsPayeDedFrmEmp.List,"U")</t>
  </si>
  <si>
    <t>validateCurrencyFormat(DtlsArrSalPdBftsPayeDedFrmEmp.List,"W")</t>
  </si>
  <si>
    <t>validateCurrencyFormat(DtlsArrSalPdBftsPayeDedFrmEmp.List,"AA")</t>
  </si>
  <si>
    <t>validateCurrencyFormat(DtlsArrSalPdBftsPayeDedFrmEmp.List,"AC")</t>
  </si>
  <si>
    <t>validateCurrencyFormat(DtlsArrSalPdBftsPayeDedFrmEmp.List,"AD")</t>
  </si>
  <si>
    <t>validateCurrencyFormat(DtlsArrSalPdBftsPayeDedFrmEmp.List,"AH")</t>
  </si>
  <si>
    <t>validateCurrencyFormat(DtlsArrSalPdBftsPayeDedFrmEmp.List,"AK")</t>
  </si>
  <si>
    <t>validateCurrencyFormat(DtlsArrSalPdBftsPayeDedFrmEmp.List,"AM")</t>
  </si>
  <si>
    <t>validateCurrencyFormat(DtlsArrSalPdBftsPayeDedFrmEmp.List,"AI")</t>
  </si>
  <si>
    <t>The arrears period can only be upto 60 months prior from the return period.</t>
  </si>
  <si>
    <t>Section H : Details of Arrears of Salary and  Benefits</t>
  </si>
  <si>
    <t>isMandatory(DtlsArrSalPdBftsPayeDedFrmDsblEmp.List,"Y","A")</t>
  </si>
  <si>
    <t>isMandatory(DtlsArrSalPdBftsPayeDedFrmDsblEmp.List,"Y","B")</t>
  </si>
  <si>
    <t>isMandatory(DtlsArrSalPdBftsPayeDedFrmDsblEmp.List,"Y","C")</t>
  </si>
  <si>
    <t>isMandatory(DtlsArrSalPdBftsPayeDedFrmDsblEmp.List,"Y","D")</t>
  </si>
  <si>
    <t>isMandatory(DtlsArrSalPdBftsPayeDedFrmDsblEmp.List,"Y","E")</t>
  </si>
  <si>
    <t>isMandatory(DtlsArrSalPdBftsPayeDedFrmDsblEmp.List,"Y","F")</t>
  </si>
  <si>
    <t>isMandatory(DtlsArrSalPdBftsPayeDedFrmDsblEmp.List,"Y","G")</t>
  </si>
  <si>
    <t>isMandatory(DtlsArrSalPdBftsPayeDedFrmDsblEmp.List,"Y","H")</t>
  </si>
  <si>
    <t>isMandatory(DtlsArrSalPdBftsPayeDedFrmDsblEmp.List,"Y","I")</t>
  </si>
  <si>
    <t>isMandatory(DtlsArrSalPdBftsPayeDedFrmDsblEmp.List,"Y","J")</t>
  </si>
  <si>
    <t>isMandatory(DtlsArrSalPdBftsPayeDedFrmDsblEmp.List,"Y","K")</t>
  </si>
  <si>
    <t>isMandatory(DtlsArrSalPdBftsPayeDedFrmDsblEmp.List,"Y","L")</t>
  </si>
  <si>
    <t>isMandatory(DtlsArrSalPdBftsPayeDedFrmDsblEmp.List,"Y","M")</t>
  </si>
  <si>
    <t>isMandatory(DtlsArrSalPdBftsPayeDedFrmDsblEmp.List,"Y","N")</t>
  </si>
  <si>
    <t>isMandatory(DtlsArrSalPdBftsPayeDedFrmDsblEmp.List,"Y","O")</t>
  </si>
  <si>
    <t>isMandatory(DtlsArrSalPdBftsPayeDedFrmDsblEmp.List,"Y","S")</t>
  </si>
  <si>
    <t>isMandatory(DtlsArrSalPdBftsPayeDedFrmDsblEmp.List,"Y","T")</t>
  </si>
  <si>
    <t>isMandatory(DtlsArrSalPdBftsPayeDedFrmDsblEmp.List,"Y","U")</t>
  </si>
  <si>
    <t>isMandatory(DtlsArrSalPdBftsPayeDedFrmDsblEmp.List,"Y","V")</t>
  </si>
  <si>
    <t>isMandatory(DtlsArrSalPdBftsPayeDedFrmDsblEmp.List,"Y","X")</t>
  </si>
  <si>
    <t>isMandatory(DtlsArrSalPdBftsPayeDedFrmDsblEmp.List,"Y","AB")</t>
  </si>
  <si>
    <t>isMandatory(DtlsArrSalPdBftsPayeDedFrmDsblEmp.List,"Y","AD")</t>
  </si>
  <si>
    <t>isMandatory(DtlsArrSalPdBftsPayeDedFrmDsblEmp.List,"Y","AE")</t>
  </si>
  <si>
    <t>isMandatory(DtlsArrSalPdBftsPayeDedFrmDsblEmp.List,"Y","AJ")</t>
  </si>
  <si>
    <t>isMandatory(DtlsArrSalPdBftsPayeDedFrmDsblEmp.List,"Y","AM")</t>
  </si>
  <si>
    <t>isMandatory(DtlsArrSalPdBftsPayeDedFrmDsblEmp.List,"Y","AO")</t>
  </si>
  <si>
    <t>isMandatory(DtlsArrSalPdBftsPayeDedFrmDsblEmp.List,"N","AK")</t>
  </si>
  <si>
    <t>validateTaxPyrPIN(DtlsArrSalPdBftsPayeDedFrmDsblEmp.List,"A")</t>
  </si>
  <si>
    <t>validateAlphaNumeric(DtlsArrSalPdBftsPayeDedFrmDsblEmp.List,"B")</t>
  </si>
  <si>
    <t>validateArrearsDateDiff(DtlsArrSalPdBftsPayeDedFrmDsblEmp.List,"C","AR","D")</t>
  </si>
  <si>
    <t>validateAlphaNumericOnly(DtlsArrSalPdBftsPayeDedFrmDsblEmp.List,"G")</t>
  </si>
  <si>
    <t>validateCurrencyFormat(DtlsArrSalPdBftsPayeDedFrmDsblEmp.List,"H")</t>
  </si>
  <si>
    <t>validateCurrencyFormat(DtlsArrSalPdBftsPayeDedFrmDsblEmp.List,"I")</t>
  </si>
  <si>
    <t>validateCurrencyFormat(DtlsArrSalPdBftsPayeDedFrmDsblEmp.List,"J")</t>
  </si>
  <si>
    <t>validateCurrencyFormat(DtlsArrSalPdBftsPayeDedFrmDsblEmp.List,"K")</t>
  </si>
  <si>
    <t>validateCurrencyFormat(DtlsArrSalPdBftsPayeDedFrmDsblEmp.List,"L")</t>
  </si>
  <si>
    <t>validateCurrencyFormat(DtlsArrSalPdBftsPayeDedFrmDsblEmp.List,"M")</t>
  </si>
  <si>
    <t>validateCurrencyFormat(DtlsArrSalPdBftsPayeDedFrmDsblEmp.List,"N")</t>
  </si>
  <si>
    <t>validateCurrencyFormat(DtlsArrSalPdBftsPayeDedFrmDsblEmp.List,"O")</t>
  </si>
  <si>
    <t>validateCurrencyFormat(DtlsArrSalPdBftsPayeDedFrmDsblEmp.List,"S")</t>
  </si>
  <si>
    <t>validateCurrencyFormat(DtlsArrSalPdBftsPayeDedFrmDsblEmp.List,"T")</t>
  </si>
  <si>
    <t>validateCurrencyFormat(DtlsArrSalPdBftsPayeDedFrmDsblEmp.List,"V")</t>
  </si>
  <si>
    <t>validateCurrencyFormat(DtlsArrSalPdBftsPayeDedFrmDsblEmp.List,"X")</t>
  </si>
  <si>
    <t>validateCurrencyFormat(DtlsArrSalPdBftsPayeDedFrmDsblEmp.List,"AB")</t>
  </si>
  <si>
    <t>validateCurrencyFormat(DtlsArrSalPdBftsPayeDedFrmDsblEmp.List,"AD")</t>
  </si>
  <si>
    <t>validateCurrencyFormat(DtlsArrSalPdBftsPayeDedFrmDsblEmp.List,"AE")</t>
  </si>
  <si>
    <t>validateCurrencyFormat(DtlsArrSalPdBftsPayeDedFrmDsblEmp.List,"AJ")</t>
  </si>
  <si>
    <t>validateCurrencyFormat(DtlsArrSalPdBftsPayeDedFrmDsblEmp.List,"AM")</t>
  </si>
  <si>
    <t>validateCurrencyFormat(DtlsArrSalPdBftsPayeDedFrmDsblEmp.List,"AO")</t>
  </si>
  <si>
    <t>validateCurrencyFormat(DtlsArrSalPdBftsPayeDedFrmDsblEmp.List,"AK")</t>
  </si>
  <si>
    <t>J_FBT_Dtls</t>
  </si>
  <si>
    <t>Loan Amount</t>
  </si>
  <si>
    <t>Amount of Loan Outstanding</t>
  </si>
  <si>
    <t>Rate of Interest on Loan</t>
  </si>
  <si>
    <t>Prescribed Market Interest Rate</t>
  </si>
  <si>
    <t>Section J : Calculation of Fringe Benefit Tax Payable</t>
  </si>
  <si>
    <t>isMandatory(FringeBenf.TaxCalcList,"Y","A")</t>
  </si>
  <si>
    <t>isMandatory(FringeBenf.TaxCalcList,"Y","B")</t>
  </si>
  <si>
    <t>isMandatory(FringeBenf.TaxCalcList,"Y","C")</t>
  </si>
  <si>
    <t>isMandatory(FringeBenf.TaxCalcList,"Y","D")</t>
  </si>
  <si>
    <t>isMandatory(FringeBenf.TaxCalcList,"Y","E")</t>
  </si>
  <si>
    <t>isMandatory(FringeBenf.TaxCalcList,"Y","F")</t>
  </si>
  <si>
    <t>isMandatory(FringeBenf.TaxCalcList,"Y","H")</t>
  </si>
  <si>
    <t>validateTaxPyrPIN(FringeBenf.TaxCalcList,"A")</t>
  </si>
  <si>
    <t>validateAlphaNumeric(FringeBenf.TaxCalcList,"B")</t>
  </si>
  <si>
    <t>validateAlphaNumericOnly(FringeBenf.TaxCalcList,"C")</t>
  </si>
  <si>
    <t>validateCurrencyFormat(FringeBenf.TaxCalcList,"D")</t>
  </si>
  <si>
    <t>validateCurrencyFormat(FringeBenf.TaxCalcList,"E")</t>
  </si>
  <si>
    <t>validateCurrencyFormat(FringeBenf.TaxCalcList,"H")</t>
  </si>
  <si>
    <t>I_Gratuity_Dtls</t>
  </si>
  <si>
    <t>Gratuity Paid Month</t>
  </si>
  <si>
    <t xml:space="preserve">Gratuity Paid Year </t>
  </si>
  <si>
    <t>Gratuity Period in Years</t>
  </si>
  <si>
    <t>Gratuity Value (Ksh)</t>
  </si>
  <si>
    <t>Section I : Calculation of PAYE Tax Payable on Gratuity</t>
  </si>
  <si>
    <t>isMandatory(CalPayeTaxPyblOnGratI.List,"Y","A")</t>
  </si>
  <si>
    <t>isMandatory(CalPayeTaxPyblOnGratI.List,"Y","B")</t>
  </si>
  <si>
    <t>isMandatory(CalPayeTaxPyblOnGratI.List,"Y","C")</t>
  </si>
  <si>
    <t>isMandatory(CalPayeTaxPyblOnGratI.List,"Y","D")</t>
  </si>
  <si>
    <t>isMandatory(CalPayeTaxPyblOnGratI.List,"Y","E")</t>
  </si>
  <si>
    <t>isMandatory(CalPayeTaxPyblOnGratI.List,"Y","F")</t>
  </si>
  <si>
    <t>isMandatory(CalPayeTaxPyblOnGratI.List,"Y","G")</t>
  </si>
  <si>
    <t>validateTaxPyrPIN(CalPayeTaxPyblOnGratI.List,"A")</t>
  </si>
  <si>
    <t>validateAlphaNumeric(CalPayeTaxPyblOnGratI.List,"B")</t>
  </si>
  <si>
    <t>validateEqlGivenString(CalPayeTaxPyblOnGratI.List,RtnInf.Month,"C")</t>
  </si>
  <si>
    <t>validateEqlGivenYear(CalPayeTaxPyblOnGratI.List,RtnInf.RtnYear,"D")</t>
  </si>
  <si>
    <t>validateBeforeGivenYear(CalPayeTaxPyblOnGratI.List,RtnInf.RtnYear,"E")</t>
  </si>
  <si>
    <t>validateCurrencyFormat(CalPayeTaxPyblOnGratI.List,"G")</t>
  </si>
  <si>
    <t>Section I : Calculation of PAYE Tax Payable on Gratuity for Specific PIN</t>
  </si>
  <si>
    <t>isMandatory(CalPayeTaxPyblOnGratII.List,"Y","D")</t>
  </si>
  <si>
    <t>isMandatory(CalPayeTaxPyblOnGratII.List,"Y","G")</t>
  </si>
  <si>
    <t>Payment Registration Number</t>
  </si>
  <si>
    <t>Date of Deposit</t>
  </si>
  <si>
    <t>Amount of PAYE Tax Paid</t>
  </si>
  <si>
    <t>isMandatory(DtlsPaye.TaxPaidAdvList,"Y","A")</t>
  </si>
  <si>
    <t>isMandatory(DtlsPaye.TaxPaidAdvList,"Y","B")</t>
  </si>
  <si>
    <t>isMandatory(DtlsPaye.TaxPaidAdvList,"Y","C")</t>
  </si>
  <si>
    <t>validatePRNNumeric(DtlsPaye.TaxPaidAdvList,"A")</t>
  </si>
  <si>
    <t>validatePrnAmount(DtlsPaye.TaxPaidAdvList,"C")</t>
  </si>
  <si>
    <t>Please enter numeric value.Only Special characters like (-) is allowed.</t>
  </si>
  <si>
    <t>ValidationRule3</t>
  </si>
  <si>
    <t>validatePRNAllzero(DtlsPaye.TaxPaidAdvList,"A")</t>
  </si>
  <si>
    <t>All the digits in the Payment Registration Number cannot be '0'. Please enter Payment Registration Number in proper format.</t>
  </si>
  <si>
    <t>isMandatory(DtlsPaye.SelfAssTaxPaidList,"Y","A")</t>
  </si>
  <si>
    <t>isMandatory(DtlsPaye.SelfAssTaxPaidList,"Y","B")</t>
  </si>
  <si>
    <t>isMandatory(DtlsPaye.SelfAssTaxPaidList,"Y","C")</t>
  </si>
  <si>
    <t>validatePRNNumeric(DtlsPaye.SelfAssTaxPaidList,"A")</t>
  </si>
  <si>
    <t>validatePrnAmount(DtlsPaye.SelfAssTaxPaidList,"C")</t>
  </si>
  <si>
    <t>validatePRNAllzero(DtlsPaye.SelfAssTaxPaidList,"A")</t>
  </si>
  <si>
    <t>PAYE Monthly Return</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</si>
  <si>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</si>
  <si>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</si>
  <si>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</si>
  <si>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</si>
  <si>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</si>
  <si>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Cash Pay (Ksh)</t>
  </si>
  <si>
    <t>Non Cash Benefits (Ksh)</t>
  </si>
  <si>
    <t>Housing Benefit (Ksh)</t>
  </si>
  <si>
    <t>Benefits (Ksh)</t>
  </si>
  <si>
    <t>Defined /Pension Contribution Benefit (Ksh)</t>
  </si>
  <si>
    <t>Total Cash Pay (A)</t>
  </si>
  <si>
    <t>Value of Car Benefit ("Value of Car Benefit" from D_Computation_of_
Car_Benefit)(B)</t>
  </si>
  <si>
    <t>Other Non Cash Benefits (C)</t>
  </si>
  <si>
    <t>Total Non Cash Pay (D)=(B + C) (C if greater than 3,000)</t>
  </si>
  <si>
    <t>Global Income (In case of non full time service Director) (Ksh) (E)</t>
  </si>
  <si>
    <t>Rent of House/Market Value</t>
  </si>
  <si>
    <t>Computed Rent of House (F)</t>
  </si>
  <si>
    <t>Rent Recovered from Employee (G)</t>
  </si>
  <si>
    <t>Net Value of Housing (Ksh) (H) = (F - G)</t>
  </si>
  <si>
    <t>Total Gross Pay (Ksh) (I) = (A + D + E + H))</t>
  </si>
  <si>
    <t>30% of Cash Pay (J) = (A)*30%</t>
  </si>
  <si>
    <t>Actual Contribution (K)</t>
  </si>
  <si>
    <t>Permissible Limit (L)</t>
  </si>
  <si>
    <t>Mortgage Interest (Max 150,000 Ksh or 12,500 Ksh a month) (M)</t>
  </si>
  <si>
    <t>Deposit on Home Ownership Saving Plan (Max 48,000 Ksh or 4,000 Ksh a month) (N)</t>
  </si>
  <si>
    <t>Amount of Benefit (O) = (Lower of J,K,L + M or N which ever is higher)</t>
  </si>
  <si>
    <t>Taxable Pay (Ksh) (P) = (I - O)</t>
  </si>
  <si>
    <t>Tax Payable (Ksh) (Q) = (P)*Slab Rate</t>
  </si>
  <si>
    <t>Monthly Personal Relief (Ksh) (R)</t>
  </si>
  <si>
    <t>Amount of Insurance Relief (Total of "Amount of Insurance Relief" from E_Computation_of_
Insu_Relief) (Ksh) (S)</t>
  </si>
  <si>
    <t>PAYE Tax (Ksh) (T) = 
(Q - R - S)</t>
  </si>
  <si>
    <t>Self Assessed PAYE Tax (Ksh)</t>
  </si>
  <si>
    <t>Total</t>
  </si>
  <si>
    <t xml:space="preserve">Benefits </t>
  </si>
  <si>
    <t>Value of Car Benefit ("Value of Car Benefit" from D_Computation_
of_Car_Benefit) (B)</t>
  </si>
  <si>
    <t>Total Gross Pay (Ksh) (I) = (A + D + E + H)</t>
  </si>
  <si>
    <t>Exemption for Persons with Disability (Ksh) (P)</t>
  </si>
  <si>
    <t>Taxable Pay (Ksh) (Q) = (I - O -P)</t>
  </si>
  <si>
    <t>Tax Payable (Ksh) (R) = (Q)*Slab Rate</t>
  </si>
  <si>
    <t>Monthly Personal Relief (Ksh) (S)</t>
  </si>
  <si>
    <t>Amount of Insurance Relief (Total of "Amount of Insurance Relief" from E_Computation_
of_Insu_Relief) (T)</t>
  </si>
  <si>
    <t>PAYE Tax (Ksh) (U) = (R-S-T)</t>
  </si>
  <si>
    <t>DtlsSalPdBftsPayeDedFrmEmp_List</t>
  </si>
  <si>
    <t>Cost of Hiring / Leasing (Ksh)</t>
  </si>
  <si>
    <t>Cost of Owned Car (Ksh)</t>
  </si>
  <si>
    <t>Value of Car Benefit (Ksh)</t>
  </si>
  <si>
    <t>Sum Assured (Ksh)</t>
  </si>
  <si>
    <t>Amount of Insurance Relief (Ksh)(A) * 15%</t>
  </si>
  <si>
    <t>Total Revised Income (Ksh) (C)= (A+B)</t>
  </si>
  <si>
    <t>PAYE Deducted on Revised Income (Ksh) (D)</t>
  </si>
  <si>
    <t>PAYE Paid in Lump Sum Payment Due Year (Ksh) / Lump Sum Payment Due Month (Ksh) (E)</t>
  </si>
  <si>
    <t>Amount of PAYE Tax Payable (Ksh) (F) = (D - E)</t>
  </si>
  <si>
    <t>Section G : Details of Arrears of Salary and  Benefits paid and PAYE deducted from Employee(s)</t>
  </si>
  <si>
    <t>Value of Car Benefit ("Value of Car Benefit" from D_Computation
_of_Car_Benefit) (B)</t>
  </si>
  <si>
    <t>Total Non Cash Pay (D)=(B+C) (C if greater than 3,000)</t>
  </si>
  <si>
    <t>Value of Housing (Ksh) (H) = (F - G)</t>
  </si>
  <si>
    <t>Total Gross Pay (Ksh) (I) = (A+D+E+H)</t>
  </si>
  <si>
    <t>Amount of Insurance Relief (Total of "Amount of Insurance Relief" from E_Computation_
of_Insu_Relief) (Ksh) (S)</t>
  </si>
  <si>
    <t>PAYE Tax (Ksh) (T) = (Q - R - S)</t>
  </si>
  <si>
    <t>Amount of PAYE Already Paid (Ksh) (U)</t>
  </si>
  <si>
    <t>Final PAYE Tax (Ksh) (V) = (T - U)</t>
  </si>
  <si>
    <t>Section H : Details of Arrears of Salary and  Benefits paid and PAYE deducted from Persons with Disability</t>
  </si>
  <si>
    <t>Amount of Insurance Relief (Total of "Amount of Insurance Relief" from E_Computation_
of_Insu_Relief) (Ksh) (T)</t>
  </si>
  <si>
    <t>Amount of PAYE Already Paid (Ksh) (V)</t>
  </si>
  <si>
    <t>Final PAYE Tax (Ksh) (W) = (U - V)</t>
  </si>
  <si>
    <t>Amount of Tax Payable on Gratuity (Ksh)</t>
  </si>
  <si>
    <t>Calculation of PAYE Tax Payable on Gratuity for Specific PIN</t>
  </si>
  <si>
    <t>Gratuity Year</t>
  </si>
  <si>
    <t>Gratuity Value (Ksh) (A)</t>
  </si>
  <si>
    <t>Total Revised Income (Ksh)(C)=(A+B)</t>
  </si>
  <si>
    <t>Tax on Revised Income (Ksh) (D)</t>
  </si>
  <si>
    <t>Amount of Tax Payable on Gratuity (Ksh) (F) = (D-E)</t>
  </si>
  <si>
    <t>Interest on Loan (Ksh) (C)=(A)*(B)</t>
  </si>
  <si>
    <t>Prescribed Market Interest Rate (%) (D)</t>
  </si>
  <si>
    <t>Prescribed Market Interest (Ksh) (E) = (A)*(D)</t>
  </si>
  <si>
    <t>Amount of Fringe Benefit (Ksh) (F) = (E - C)</t>
  </si>
  <si>
    <t>Amount of Fringe Benefit Tax  (Ksh) (G) = (F) * 30%</t>
  </si>
  <si>
    <t>Amount of PAYE Tax Paid (Ksh)</t>
  </si>
  <si>
    <t>Total (Section K1 Total + Section K2 Total)</t>
  </si>
  <si>
    <t>Description</t>
  </si>
  <si>
    <t>Amount (Ksh)</t>
  </si>
  <si>
    <t>Total Employees (Total records of B_Employees_Dtls and C_Disabled_Employees_Dtls)</t>
  </si>
  <si>
    <t>PAYE Tax deducted from the Employee(s) (Total of "Self Assessed PAYE Tax" from B_Employees_Dtls)</t>
  </si>
  <si>
    <t>PAYE Tax deducted from Persons with Disability (Total of "Self Assessed PAYE Tax" from C_Disabled_Employees_Dtls)</t>
  </si>
  <si>
    <t>PAYE Tax on Lump Sum Payment on Termination (Total of "Amount of PAYE Payable" from F_Lump_Sum_Payments_Dtls)</t>
  </si>
  <si>
    <t>PAYE Tax deducted from Employee(s) on Arrears (Total of "Self Assessed PAYE Tax" from G_Arrears_Dtls_E)</t>
  </si>
  <si>
    <t>PAYE Tax deducted from Persons with Disability on Arrears (Total of "Self Assessed PAYE Tax" from H_Arrears_Dtls_DE)</t>
  </si>
  <si>
    <t>PAYE Tax deducted on Gratuity (Total of "Amount of Tax Payable on Gratuity" from I_Gratuity_Dtls)</t>
  </si>
  <si>
    <t>Fringe Benefit Tax (Total of "Amount of Fringe Benefit Tax" from J_FBT_Dtls)</t>
  </si>
  <si>
    <t>Total PAYE Tax Payable for the Month (2+3+4+5+6+7+8)</t>
  </si>
  <si>
    <r>
      <t xml:space="preserve">Previous month PAYE Tax (If the amount was less than 100 Ksh and not paid) </t>
    </r>
    <r>
      <rPr>
        <sz val="12"/>
        <color indexed="10"/>
        <rFont val="Book Antiqua"/>
        <family val="1"/>
      </rPr>
      <t>*</t>
    </r>
  </si>
  <si>
    <t>Total PAYE Tax Payable (9+10)</t>
  </si>
  <si>
    <t>PAYE Paid in Advance (Total of "Amount of PAYE Tax Paid" from K_PAYE_Payment_Credits)</t>
  </si>
  <si>
    <t>Net PAYE Tax Payable (11-12)</t>
  </si>
  <si>
    <t>RetInf</t>
  </si>
  <si>
    <t>e3b0c44298fc1c149afbf4c8996fb92427ae41e4649b934ca495991b7852b855</t>
  </si>
  <si>
    <t/>
  </si>
  <si>
    <t>A117:C118</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</si>
  <si>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</si>
  <si>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</si>
  <si>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</si>
  <si>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</si>
  <si>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</si>
  <si>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</si>
  <si>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A133:E134</t>
  </si>
  <si>
    <t>crit38</t>
  </si>
  <si>
    <t xml:space="preserve">Reference to Section' should contain value 'B_Employees_Dtls' or C_Disabled_Employees_Dtls' or 'G_Arrears_Dtls_E' or 'H_Arrears_Dtls_DE'  in following row(s): </t>
  </si>
  <si>
    <t>A1:B3</t>
  </si>
  <si>
    <t>A6:B8</t>
  </si>
  <si>
    <t>A11:A12</t>
  </si>
  <si>
    <t>A15:A16</t>
  </si>
  <si>
    <t>A19:A20</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</si>
  <si>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</si>
  <si>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</si>
  <si>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</si>
  <si>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</si>
  <si>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</si>
  <si>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</si>
  <si>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</si>
  <si>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</si>
  <si>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</si>
  <si>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</si>
  <si>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</si>
  <si>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</si>
  <si>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</si>
  <si>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</si>
  <si>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</si>
  <si>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</si>
  <si>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</si>
  <si>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</si>
  <si>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</si>
  <si>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</si>
  <si>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</si>
  <si>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</si>
  <si>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</si>
  <si>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</si>
  <si>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</si>
  <si>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</si>
  <si>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</si>
  <si>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</si>
  <si>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</si>
  <si>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</si>
  <si>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</si>
  <si>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</si>
  <si>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</si>
  <si>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</si>
  <si>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</si>
  <si>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</si>
  <si>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</si>
  <si>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A142:C143</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</si>
  <si>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</si>
  <si>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</si>
  <si>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</si>
  <si>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</si>
  <si>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</si>
  <si>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</si>
  <si>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</si>
  <si>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</si>
  <si>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</si>
  <si>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</si>
  <si>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</si>
  <si>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A145:C146</t>
  </si>
  <si>
    <t>A149:C150</t>
  </si>
  <si>
    <t>crit39</t>
  </si>
  <si>
    <t>A153:B154</t>
  </si>
  <si>
    <t>crit40</t>
  </si>
  <si>
    <t>A157:B158</t>
  </si>
  <si>
    <t>crit41</t>
  </si>
  <si>
    <t>A161:B162</t>
  </si>
  <si>
    <t>crit42</t>
  </si>
  <si>
    <t>A165:B166</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</si>
  <si>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</si>
  <si>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</si>
  <si>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</si>
  <si>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</si>
  <si>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</si>
  <si>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</si>
  <si>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A169:B170</t>
  </si>
  <si>
    <t>crit44</t>
  </si>
  <si>
    <t>A173:B174</t>
  </si>
  <si>
    <t>crit45</t>
  </si>
  <si>
    <t>A177:B178</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</si>
  <si>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</si>
  <si>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</si>
  <si>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</si>
  <si>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</si>
  <si>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</si>
  <si>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</si>
  <si>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</si>
  <si>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</si>
  <si>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</si>
  <si>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</si>
  <si>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</si>
  <si>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</si>
  <si>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</si>
  <si>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</si>
  <si>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</si>
  <si>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</si>
  <si>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A181:B182</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</si>
  <si>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</si>
  <si>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</si>
  <si>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</si>
  <si>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</si>
  <si>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</si>
  <si>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</si>
  <si>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</si>
  <si>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</si>
  <si>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</si>
  <si>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</si>
  <si>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</si>
  <si>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</si>
  <si>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</si>
  <si>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A121:A122</t>
  </si>
  <si>
    <t>A141:E142</t>
  </si>
  <si>
    <t>A153:C154</t>
  </si>
  <si>
    <t>A157:C158</t>
  </si>
  <si>
    <t>2013</t>
  </si>
  <si>
    <t>2014</t>
  </si>
  <si>
    <t>2015</t>
  </si>
  <si>
    <t>Car</t>
  </si>
  <si>
    <t xml:space="preserve">Value of Car Benefit' should contain value in following row(s): </t>
  </si>
  <si>
    <t>A177:A178</t>
  </si>
  <si>
    <t>A185:A186</t>
  </si>
  <si>
    <t>A186:A187</t>
  </si>
  <si>
    <t>crit49</t>
  </si>
  <si>
    <t>A194:A195</t>
  </si>
  <si>
    <t>isMandatory(DtlsSalPdBftsPayeDedFrmEmp.List,"Y","N")</t>
  </si>
  <si>
    <t>N)</t>
  </si>
  <si>
    <t>Value of Car Benefit is Mandatory field.</t>
  </si>
  <si>
    <t>isMandatory(DtlsSalPdBftsPayeDedFrmDsblEmp.List,"Y","O")</t>
  </si>
  <si>
    <t>isMandatory(DtlsArrSalPdBftsPayeDedFrmEmp.List,"Y","P")</t>
  </si>
  <si>
    <t>isMandatory(DtlsArrSalPdBftsPayeDedFrmDsblEmp.List,"Y","Q")</t>
  </si>
  <si>
    <t>Please enter Employee's PIN in proper format.</t>
  </si>
  <si>
    <t>A181:A182</t>
  </si>
  <si>
    <t>A189:A190</t>
  </si>
  <si>
    <t>A23:A24</t>
  </si>
  <si>
    <t>'Name of Employee' should be of length less than or equal to 50 Characters in following row(s):</t>
  </si>
  <si>
    <t>A190:A191</t>
  </si>
  <si>
    <t>crit50</t>
  </si>
  <si>
    <t>A198:A199</t>
  </si>
  <si>
    <t xml:space="preserve">'Make' should be of length less than or equal to 50 charecters in following row(s): </t>
  </si>
  <si>
    <t xml:space="preserve">'Exemption Certificate Number' should be of length less than or equal to 20 characters in following row(s): </t>
  </si>
  <si>
    <t>A193:A194</t>
  </si>
  <si>
    <t>crit51</t>
  </si>
  <si>
    <t>A202:A203</t>
  </si>
  <si>
    <t xml:space="preserve">'Car Registration Number' should be of length less than or equal to 20 characters in following row(s): </t>
  </si>
  <si>
    <t>LoanAccNum</t>
  </si>
  <si>
    <t xml:space="preserve">'Loan Account Number' should be of length less than or equal to 20 characters in following row(s): </t>
  </si>
  <si>
    <t>A27:A28</t>
  </si>
  <si>
    <t>self</t>
  </si>
  <si>
    <t xml:space="preserve">'Self Assessed PAYE Tax (Ksh)' should be a positive number in following row(s): </t>
  </si>
  <si>
    <t xml:space="preserve">As 'Type of Car Cost' contains 'Owned', 'Cost of Owned Car (Ksh)' should contain value in following row(s): </t>
  </si>
  <si>
    <t xml:space="preserve">As 'Type of Car Cost' contains 'Hired', 'Cost of Hiring / Leasing (Ksh)' should contain value in following row(s): </t>
  </si>
  <si>
    <t xml:space="preserve">PAYE Paid in Lump Sum Payment Due Year (Ksh) / Lump Sum Payment Due Month (Ksh) (E)'  should contain  value in following row(s): </t>
  </si>
  <si>
    <t>A197:A198</t>
  </si>
  <si>
    <t xml:space="preserve">Self Assessed PAYE Tax (Ksh)' should contain value in following row(s): </t>
  </si>
  <si>
    <t xml:space="preserve">Self Assessed PAYE Tax (Ksh)' should contain positive number in following row(s): </t>
  </si>
  <si>
    <t>crit52</t>
  </si>
  <si>
    <t>A206:A207</t>
  </si>
  <si>
    <t>XLS</t>
  </si>
  <si>
    <t>EXCEL 1997-2003</t>
  </si>
  <si>
    <t>47</t>
  </si>
  <si>
    <t>7</t>
  </si>
  <si>
    <t>Unwanted Data Entered?</t>
  </si>
  <si>
    <t>checkUnwantedDataInSecI()</t>
  </si>
  <si>
    <t>"Emoluments of Gratuity Year" and "Tax Paid in Gratuity Year" should be blank when PIN is blank.</t>
  </si>
  <si>
    <t>Genrate Uploadeble Xml ?</t>
  </si>
  <si>
    <t>validateCurrencyFormat(DtlsSalPdBftsPayeDedFrmEmp.List,"AF")</t>
  </si>
  <si>
    <t>visibleSheetsArr (List of Sheets which should be visible when macros are enabled)</t>
  </si>
  <si>
    <t>It has been detected that Macros are not enabled/Sheet is opened in Protected View in your System. Please follow below instructions to proceed.</t>
  </si>
  <si>
    <t>Help on Enable Macro:</t>
  </si>
  <si>
    <t>Tax Deducted plus Reliefs (Ksh)  (E)</t>
  </si>
  <si>
    <t>Taxable Amounts (Ksh) (B)</t>
  </si>
  <si>
    <t>Taxable Amounts</t>
  </si>
  <si>
    <t>Tax Deducted plus Reliefs</t>
  </si>
  <si>
    <t>Read Me:Errors:Macros_Disabled:A_Basic_Info:B_Employees_Dtls:C_Disabled_Employees_Dtls:D_Computation_of_Car_Benefit:E_Computation_of_Insu_Relief:F_Lump_Sum_Payments_Dtls:G_Arrears_Dtls_E:H_Arrears_Dtls_DE:I_Gratuity_Dtls:J_FBT_Dtls:K_PAYE_Payment_Credits:L_Tax_Due</t>
  </si>
  <si>
    <t>Version 8.0.0</t>
  </si>
  <si>
    <t>06f50fab43c575f258617c683411690ae59d645103c96cb187dfb2da819c2841</t>
  </si>
  <si>
    <t>01/08/2015</t>
  </si>
  <si>
    <t>31/08/2015</t>
  </si>
  <si>
    <t>01/08/2014</t>
  </si>
  <si>
    <t>01/08/2010</t>
  </si>
  <si>
    <t>Gratuity Related/ Retirement Year</t>
  </si>
  <si>
    <t xml:space="preserve">Gratuity Related/ Retirement Year </t>
  </si>
  <si>
    <t>2016</t>
  </si>
  <si>
    <t>validateAlphaNumeric(DtlsSalPdBftsPayeDedFrmDsblEmp.List,"E")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</si>
</sst>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
  </numFmts>
  <fonts count="29"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sz val="11"/>
      <color indexed="10"/>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1"/>
      <color theme="0" tint="-0.249977111117893"/>
      <name val="Calibri"/>
      <family val="2"/>
    </font>
    <font>
      <sz val="11"/>
      <color theme="0" tint="-0.34998626667073579"/>
      <name val="Calibri"/>
      <family val="2"/>
    </font>
    <font>
      <b/>
      <sz val="16"/>
      <color rgb="FFFF0000"/>
      <name val="Calibri"/>
      <family val="2"/>
    </font>
  </fonts>
  <fills count="11">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249977111117893"/>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style="thin">
        <color indexed="9"/>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8"/>
      </top>
      <bottom/>
      <diagonal/>
    </border>
    <border>
      <left style="thin">
        <color indexed="9"/>
      </left>
      <right style="thin">
        <color indexed="9"/>
      </right>
      <top/>
      <bottom style="thin">
        <color indexed="9"/>
      </bottom>
      <diagonal/>
    </border>
    <border>
      <left style="thin">
        <color indexed="9"/>
      </left>
      <right style="thin">
        <color indexed="8"/>
      </right>
      <top style="thin">
        <color indexed="8"/>
      </top>
      <bottom style="thin">
        <color indexed="8"/>
      </bottom>
      <diagonal/>
    </border>
  </borders>
  <cellStyleXfs count="9">
    <xf numFmtId="0" fontId="0" fillId="0" borderId="0"/>
    <xf numFmtId="0" fontId="25" fillId="0" borderId="1"/>
    <xf numFmtId="0" fontId="13" fillId="0" borderId="0" applyNumberFormat="0" applyFill="0" applyBorder="0" applyAlignment="0" applyProtection="0"/>
    <xf numFmtId="0" fontId="25" fillId="0" borderId="0"/>
    <xf numFmtId="0" fontId="1" fillId="0" borderId="0"/>
    <xf numFmtId="0" fontId="1" fillId="0" borderId="0"/>
    <xf numFmtId="0" fontId="25" fillId="0" borderId="0"/>
    <xf numFmtId="0" fontId="25" fillId="0" borderId="0"/>
    <xf numFmtId="0" fontId="25" fillId="0" borderId="0"/>
  </cellStyleXfs>
  <cellXfs count="245">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Fill="1" applyAlignment="1">
      <alignment wrapText="1"/>
    </xf>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18" fillId="5" borderId="0" xfId="0" applyNumberFormat="1" applyFont="1" applyFill="1" applyProtection="1"/>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20"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4" fontId="5" fillId="3" borderId="5" xfId="0" applyNumberFormat="1" applyFont="1" applyFill="1" applyBorder="1" applyAlignment="1" applyProtection="1">
      <alignment horizontal="right" wrapText="1"/>
    </xf>
    <xf numFmtId="4" fontId="5" fillId="3" borderId="10" xfId="0" applyNumberFormat="1" applyFont="1" applyFill="1" applyBorder="1" applyAlignment="1" applyProtection="1">
      <alignment horizontal="right" wrapText="1"/>
    </xf>
    <xf numFmtId="0" fontId="21" fillId="5" borderId="0" xfId="0" applyFont="1" applyFill="1" applyProtection="1"/>
    <xf numFmtId="0" fontId="20" fillId="2" borderId="11" xfId="0" applyFont="1" applyFill="1" applyBorder="1" applyAlignment="1" applyProtection="1">
      <alignment horizontal="center" vertical="top" wrapText="1"/>
    </xf>
    <xf numFmtId="0" fontId="20" fillId="2" borderId="2" xfId="0" applyFont="1" applyFill="1" applyBorder="1" applyAlignment="1" applyProtection="1">
      <alignment horizontal="center" vertical="top" wrapText="1"/>
    </xf>
    <xf numFmtId="0" fontId="20" fillId="2" borderId="1" xfId="0" applyFont="1" applyFill="1" applyBorder="1" applyAlignment="1" applyProtection="1">
      <alignment horizontal="center" vertical="top" wrapText="1"/>
    </xf>
    <xf numFmtId="49" fontId="9" fillId="2" borderId="1" xfId="0" applyNumberFormat="1" applyFont="1" applyFill="1" applyBorder="1" applyProtection="1">
      <protection locked="0"/>
    </xf>
    <xf numFmtId="4" fontId="9" fillId="3" borderId="10"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 fontId="9" fillId="3" borderId="10" xfId="0" applyNumberFormat="1" applyFont="1" applyFill="1" applyBorder="1" applyAlignment="1" applyProtection="1">
      <alignment horizontal="right" wrapText="1"/>
    </xf>
    <xf numFmtId="4" fontId="9" fillId="3" borderId="5" xfId="0" applyNumberFormat="1" applyFont="1" applyFill="1" applyBorder="1" applyAlignment="1" applyProtection="1">
      <alignment horizontal="right" wrapText="1"/>
    </xf>
    <xf numFmtId="4" fontId="9" fillId="3" borderId="4" xfId="0" applyNumberFormat="1" applyFont="1" applyFill="1" applyBorder="1" applyAlignment="1" applyProtection="1">
      <alignment horizontal="right" wrapText="1"/>
    </xf>
    <xf numFmtId="49" fontId="3" fillId="2" borderId="5" xfId="0" applyNumberFormat="1" applyFont="1" applyFill="1" applyBorder="1" applyAlignment="1" applyProtection="1">
      <alignment wrapText="1"/>
      <protection locked="0"/>
    </xf>
    <xf numFmtId="49" fontId="3" fillId="2" borderId="6" xfId="0" applyNumberFormat="1" applyFont="1" applyFill="1" applyBorder="1" applyAlignment="1" applyProtection="1">
      <alignment wrapText="1"/>
      <protection locked="0"/>
    </xf>
    <xf numFmtId="49" fontId="9" fillId="2" borderId="6" xfId="8" applyNumberFormat="1" applyFont="1" applyFill="1" applyBorder="1" applyAlignment="1" applyProtection="1">
      <alignment wrapText="1"/>
      <protection locked="0"/>
    </xf>
    <xf numFmtId="49" fontId="9" fillId="2" borderId="6" xfId="0" applyNumberFormat="1" applyFont="1" applyFill="1" applyBorder="1" applyProtection="1">
      <protection locked="0"/>
    </xf>
    <xf numFmtId="4" fontId="9" fillId="2" borderId="6" xfId="0" applyNumberFormat="1" applyFont="1" applyFill="1" applyBorder="1" applyAlignment="1" applyProtection="1">
      <alignment horizontal="right" wrapText="1"/>
      <protection locked="0"/>
    </xf>
    <xf numFmtId="4" fontId="9" fillId="3" borderId="6" xfId="0" applyNumberFormat="1" applyFont="1" applyFill="1" applyBorder="1" applyAlignment="1" applyProtection="1">
      <alignment wrapText="1"/>
    </xf>
    <xf numFmtId="4" fontId="9" fillId="3" borderId="6" xfId="0" applyNumberFormat="1" applyFont="1" applyFill="1" applyBorder="1" applyAlignment="1" applyProtection="1">
      <alignment horizontal="right" wrapText="1"/>
    </xf>
    <xf numFmtId="4" fontId="9" fillId="3" borderId="0" xfId="0" applyNumberFormat="1" applyFont="1" applyFill="1" applyBorder="1" applyAlignment="1" applyProtection="1">
      <alignment horizontal="right" wrapText="1"/>
    </xf>
    <xf numFmtId="4" fontId="5" fillId="3" borderId="4" xfId="0" applyNumberFormat="1" applyFont="1" applyFill="1" applyBorder="1" applyAlignment="1" applyProtection="1">
      <alignment horizontal="right" wrapText="1"/>
    </xf>
    <xf numFmtId="0" fontId="19" fillId="5" borderId="0" xfId="0" applyFont="1" applyFill="1" applyProtection="1"/>
    <xf numFmtId="49" fontId="3" fillId="2" borderId="1" xfId="0" applyNumberFormat="1" applyFont="1" applyFill="1" applyBorder="1" applyAlignment="1" applyProtection="1">
      <alignment horizontal="left" wrapText="1"/>
      <protection locked="0"/>
    </xf>
    <xf numFmtId="49" fontId="9" fillId="2" borderId="1" xfId="8" applyNumberFormat="1" applyFont="1" applyFill="1" applyBorder="1" applyAlignment="1" applyProtection="1">
      <alignment horizontal="left" wrapText="1"/>
      <protection locked="0"/>
    </xf>
    <xf numFmtId="3" fontId="9" fillId="0" borderId="1" xfId="0" applyNumberFormat="1" applyFont="1" applyBorder="1" applyAlignment="1" applyProtection="1">
      <alignment wrapText="1"/>
      <protection locked="0"/>
    </xf>
    <xf numFmtId="4" fontId="9" fillId="2" borderId="1" xfId="0" applyNumberFormat="1" applyFont="1" applyFill="1" applyBorder="1" applyAlignment="1" applyProtection="1">
      <alignment wrapText="1"/>
      <protection locked="0"/>
    </xf>
    <xf numFmtId="49" fontId="3" fillId="2" borderId="10" xfId="0" applyNumberFormat="1" applyFont="1" applyFill="1" applyBorder="1" applyAlignment="1" applyProtection="1">
      <alignment horizontal="left" wrapText="1"/>
      <protection locked="0"/>
    </xf>
    <xf numFmtId="49" fontId="9" fillId="2" borderId="10" xfId="8" applyNumberFormat="1" applyFont="1" applyFill="1" applyBorder="1" applyAlignment="1" applyProtection="1">
      <alignment horizontal="left" wrapText="1"/>
      <protection locked="0"/>
    </xf>
    <xf numFmtId="3" fontId="9" fillId="0" borderId="10" xfId="0" applyNumberFormat="1" applyFont="1" applyBorder="1" applyAlignment="1" applyProtection="1">
      <alignment wrapText="1"/>
      <protection locked="0"/>
    </xf>
    <xf numFmtId="0" fontId="19" fillId="0" borderId="0" xfId="0" applyFont="1"/>
    <xf numFmtId="4" fontId="22" fillId="4" borderId="0" xfId="0" applyNumberFormat="1" applyFont="1" applyFill="1" applyBorder="1" applyAlignment="1" applyProtection="1">
      <alignment horizontal="right" wrapText="1"/>
    </xf>
    <xf numFmtId="0" fontId="23" fillId="5" borderId="0" xfId="0" applyFont="1" applyFill="1" applyProtection="1"/>
    <xf numFmtId="0" fontId="10" fillId="0" borderId="0" xfId="0" applyFont="1" applyProtection="1">
      <protection locked="0"/>
    </xf>
    <xf numFmtId="1" fontId="9" fillId="0" borderId="1" xfId="0" applyNumberFormat="1" applyFont="1" applyBorder="1" applyProtection="1">
      <protection locked="0"/>
    </xf>
    <xf numFmtId="4" fontId="3" fillId="3" borderId="1" xfId="0" applyNumberFormat="1" applyFont="1" applyFill="1" applyBorder="1" applyAlignment="1" applyProtection="1">
      <alignment wrapText="1"/>
    </xf>
    <xf numFmtId="0" fontId="24" fillId="5" borderId="0" xfId="0" applyFont="1" applyFill="1" applyProtection="1"/>
    <xf numFmtId="4" fontId="5" fillId="3" borderId="1" xfId="0" applyNumberFormat="1" applyFont="1" applyFill="1" applyBorder="1" applyAlignment="1" applyProtection="1">
      <alignment wrapText="1"/>
    </xf>
    <xf numFmtId="49" fontId="9" fillId="0" borderId="1" xfId="0" applyNumberFormat="1" applyFont="1" applyBorder="1" applyProtection="1">
      <protection locked="0"/>
    </xf>
    <xf numFmtId="4" fontId="20" fillId="3" borderId="1" xfId="0" applyNumberFormat="1" applyFont="1" applyFill="1" applyBorder="1" applyAlignment="1" applyProtection="1">
      <alignment wrapText="1"/>
    </xf>
    <xf numFmtId="0" fontId="20" fillId="2" borderId="12" xfId="0" applyFont="1" applyFill="1" applyBorder="1" applyAlignment="1" applyProtection="1">
      <alignment horizontal="center" vertical="top" wrapText="1"/>
    </xf>
    <xf numFmtId="0" fontId="20" fillId="2" borderId="13" xfId="0" applyFont="1" applyFill="1" applyBorder="1" applyAlignment="1" applyProtection="1">
      <alignment horizontal="center" vertical="top" wrapText="1"/>
    </xf>
    <xf numFmtId="4" fontId="9" fillId="3" borderId="5" xfId="0" applyNumberFormat="1" applyFont="1" applyFill="1" applyBorder="1" applyAlignment="1" applyProtection="1">
      <alignment wrapText="1"/>
    </xf>
    <xf numFmtId="4" fontId="9" fillId="3" borderId="4" xfId="0" applyNumberFormat="1" applyFont="1" applyFill="1" applyBorder="1" applyAlignment="1" applyProtection="1">
      <alignment wrapText="1"/>
    </xf>
    <xf numFmtId="4" fontId="20" fillId="3" borderId="4" xfId="0" applyNumberFormat="1" applyFont="1" applyFill="1" applyBorder="1" applyAlignment="1" applyProtection="1">
      <alignment wrapText="1"/>
    </xf>
    <xf numFmtId="1" fontId="9" fillId="2" borderId="1" xfId="0" applyNumberFormat="1" applyFont="1" applyFill="1" applyBorder="1" applyAlignment="1" applyProtection="1">
      <alignment horizontal="right" wrapText="1"/>
      <protection locked="0"/>
    </xf>
    <xf numFmtId="1" fontId="0" fillId="0" borderId="0" xfId="0" applyNumberFormat="1"/>
    <xf numFmtId="4" fontId="20" fillId="3" borderId="1" xfId="0" applyNumberFormat="1" applyFont="1" applyFill="1" applyBorder="1" applyAlignment="1" applyProtection="1">
      <alignment horizontal="right" wrapText="1"/>
    </xf>
    <xf numFmtId="1" fontId="9" fillId="3" borderId="1" xfId="0" applyNumberFormat="1" applyFont="1" applyFill="1" applyBorder="1" applyAlignment="1" applyProtection="1">
      <alignmen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0" xfId="0" applyNumberFormat="1" applyFont="1" applyFill="1" applyBorder="1" applyAlignment="1" applyProtection="1">
      <alignment horizontal="left" wrapText="1"/>
      <protection locked="0"/>
    </xf>
    <xf numFmtId="4" fontId="9" fillId="0" borderId="10" xfId="0" applyNumberFormat="1" applyFont="1" applyBorder="1" applyAlignment="1" applyProtection="1">
      <alignment horizontal="right"/>
      <protection locked="0"/>
    </xf>
    <xf numFmtId="0" fontId="18" fillId="5" borderId="0" xfId="0" applyFont="1" applyFill="1"/>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0" fontId="9" fillId="2" borderId="1" xfId="0" applyFont="1" applyFill="1" applyBorder="1" applyAlignment="1" applyProtection="1">
      <alignment horizontal="center" wrapText="1"/>
    </xf>
    <xf numFmtId="0" fontId="9" fillId="2" borderId="1" xfId="0" applyFont="1" applyFill="1" applyBorder="1" applyAlignment="1" applyProtection="1">
      <alignment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0" fontId="20" fillId="2" borderId="1" xfId="0" applyFont="1" applyFill="1" applyBorder="1" applyAlignment="1" applyProtection="1">
      <alignment horizontal="center" wrapText="1"/>
    </xf>
    <xf numFmtId="0" fontId="20" fillId="2" borderId="1" xfId="0" applyFont="1" applyFill="1" applyBorder="1" applyAlignment="1" applyProtection="1">
      <alignment wrapText="1"/>
    </xf>
    <xf numFmtId="11" fontId="0" fillId="0" borderId="0" xfId="0" applyNumberFormat="1" applyFont="1"/>
    <xf numFmtId="49" fontId="3" fillId="8" borderId="1" xfId="0" applyNumberFormat="1" applyFont="1" applyFill="1" applyBorder="1" applyAlignment="1" applyProtection="1">
      <alignment horizontal="left" wrapText="1"/>
    </xf>
    <xf numFmtId="49" fontId="9" fillId="8" borderId="1" xfId="8" applyNumberFormat="1" applyFont="1" applyFill="1" applyBorder="1" applyAlignment="1" applyProtection="1">
      <alignment horizontal="left" wrapText="1"/>
    </xf>
    <xf numFmtId="49" fontId="3" fillId="8" borderId="1" xfId="0" applyNumberFormat="1" applyFont="1" applyFill="1" applyBorder="1" applyAlignment="1" applyProtection="1">
      <alignment horizontal="right" wrapText="1"/>
    </xf>
    <xf numFmtId="4" fontId="9" fillId="8" borderId="1" xfId="0" applyNumberFormat="1" applyFont="1" applyFill="1" applyBorder="1" applyAlignment="1" applyProtection="1">
      <alignment horizontal="right" wrapText="1"/>
    </xf>
    <xf numFmtId="0" fontId="26" fillId="5" borderId="0" xfId="0" applyFont="1" applyFill="1" applyProtection="1"/>
    <xf numFmtId="1" fontId="26" fillId="5" borderId="0" xfId="0" applyNumberFormat="1" applyFont="1" applyFill="1" applyProtection="1"/>
    <xf numFmtId="0" fontId="26" fillId="0" borderId="0" xfId="0" applyFont="1"/>
    <xf numFmtId="4" fontId="9" fillId="8" borderId="1" xfId="0" applyNumberFormat="1" applyFont="1" applyFill="1" applyBorder="1" applyAlignment="1" applyProtection="1">
      <alignment wrapText="1"/>
    </xf>
    <xf numFmtId="4" fontId="9" fillId="8" borderId="10" xfId="0" applyNumberFormat="1" applyFont="1" applyFill="1" applyBorder="1" applyAlignment="1" applyProtection="1">
      <alignment wrapText="1"/>
    </xf>
    <xf numFmtId="0" fontId="26" fillId="5" borderId="0" xfId="0" applyNumberFormat="1" applyFont="1" applyFill="1" applyProtection="1"/>
    <xf numFmtId="49" fontId="26" fillId="5" borderId="0" xfId="0" applyNumberFormat="1" applyFont="1" applyFill="1" applyProtection="1"/>
    <xf numFmtId="164" fontId="3" fillId="2" borderId="1" xfId="0" applyNumberFormat="1" applyFont="1" applyFill="1" applyBorder="1" applyAlignment="1" applyProtection="1">
      <alignment horizontal="right" wrapText="1"/>
      <protection locked="0"/>
    </xf>
    <xf numFmtId="164" fontId="3" fillId="2" borderId="10"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4" xfId="0" applyNumberFormat="1" applyBorder="1"/>
    <xf numFmtId="49" fontId="14" fillId="0" borderId="15" xfId="0" applyNumberFormat="1" applyFont="1" applyBorder="1"/>
    <xf numFmtId="49" fontId="0" fillId="0" borderId="16" xfId="0" applyNumberFormat="1" applyBorder="1"/>
    <xf numFmtId="49" fontId="14" fillId="0" borderId="17" xfId="0" applyNumberFormat="1" applyFont="1" applyBorder="1"/>
    <xf numFmtId="49" fontId="0" fillId="0" borderId="18" xfId="0" applyNumberFormat="1" applyBorder="1"/>
    <xf numFmtId="49" fontId="14" fillId="0" borderId="19" xfId="0" applyNumberFormat="1" applyFont="1" applyBorder="1"/>
    <xf numFmtId="49" fontId="0" fillId="0" borderId="20" xfId="0" applyNumberFormat="1" applyBorder="1"/>
    <xf numFmtId="49" fontId="14" fillId="0" borderId="16" xfId="0" applyNumberFormat="1" applyFont="1" applyBorder="1"/>
    <xf numFmtId="49" fontId="14" fillId="0" borderId="21" xfId="0" applyNumberFormat="1" applyFont="1" applyBorder="1"/>
    <xf numFmtId="49" fontId="14" fillId="0" borderId="22" xfId="0" applyNumberFormat="1" applyFont="1" applyBorder="1"/>
    <xf numFmtId="49" fontId="0" fillId="0" borderId="22" xfId="0" applyNumberFormat="1" applyBorder="1"/>
    <xf numFmtId="49" fontId="0" fillId="0" borderId="21" xfId="0" applyNumberFormat="1" applyBorder="1"/>
    <xf numFmtId="49" fontId="0" fillId="0" borderId="23" xfId="0" applyNumberFormat="1" applyBorder="1"/>
    <xf numFmtId="49" fontId="0" fillId="0" borderId="15" xfId="0" applyNumberFormat="1" applyBorder="1"/>
    <xf numFmtId="0" fontId="0" fillId="0" borderId="0" xfId="0" applyFill="1" applyBorder="1" applyAlignment="1">
      <alignment vertical="top" wrapText="1"/>
    </xf>
    <xf numFmtId="0" fontId="0" fillId="0" borderId="17" xfId="0" applyBorder="1"/>
    <xf numFmtId="0" fontId="0" fillId="0" borderId="0" xfId="0" applyBorder="1"/>
    <xf numFmtId="0" fontId="0" fillId="0" borderId="19" xfId="0" applyBorder="1"/>
    <xf numFmtId="49" fontId="0" fillId="0" borderId="0" xfId="0" applyNumberFormat="1" applyBorder="1" applyAlignment="1">
      <alignment wrapText="1"/>
    </xf>
    <xf numFmtId="49" fontId="0" fillId="0" borderId="17" xfId="0" applyNumberFormat="1" applyBorder="1"/>
    <xf numFmtId="49" fontId="0" fillId="0" borderId="19" xfId="0" applyNumberFormat="1" applyBorder="1"/>
    <xf numFmtId="49" fontId="14" fillId="0" borderId="15" xfId="0" applyNumberFormat="1" applyFont="1" applyBorder="1" applyAlignment="1">
      <alignment wrapText="1"/>
    </xf>
    <xf numFmtId="49" fontId="0" fillId="0" borderId="17" xfId="0" applyNumberFormat="1" applyBorder="1" applyAlignment="1">
      <alignment wrapText="1"/>
    </xf>
    <xf numFmtId="49" fontId="0" fillId="0" borderId="19" xfId="0" applyNumberFormat="1" applyBorder="1" applyAlignment="1">
      <alignment wrapText="1"/>
    </xf>
    <xf numFmtId="49" fontId="0" fillId="0" borderId="24" xfId="0" applyNumberFormat="1" applyBorder="1"/>
    <xf numFmtId="49" fontId="14" fillId="0" borderId="18" xfId="0" applyNumberFormat="1" applyFont="1" applyBorder="1"/>
    <xf numFmtId="49" fontId="14" fillId="0" borderId="20" xfId="0" applyNumberFormat="1" applyFont="1" applyBorder="1"/>
    <xf numFmtId="49" fontId="14" fillId="0" borderId="24" xfId="0" applyNumberFormat="1" applyFont="1" applyBorder="1"/>
    <xf numFmtId="0" fontId="0" fillId="0" borderId="16" xfId="0" applyBorder="1"/>
    <xf numFmtId="0" fontId="0" fillId="0" borderId="18" xfId="0" applyBorder="1"/>
    <xf numFmtId="0" fontId="0" fillId="0" borderId="20" xfId="0" applyBorder="1"/>
    <xf numFmtId="0" fontId="0" fillId="0" borderId="24" xfId="0" applyBorder="1"/>
    <xf numFmtId="0" fontId="0" fillId="0" borderId="14" xfId="0" applyBorder="1"/>
    <xf numFmtId="49" fontId="14" fillId="0" borderId="14" xfId="0" applyNumberFormat="1" applyFont="1" applyBorder="1"/>
    <xf numFmtId="0" fontId="10" fillId="0" borderId="15" xfId="0" applyFont="1" applyBorder="1"/>
    <xf numFmtId="0" fontId="10" fillId="0" borderId="24" xfId="0" applyFont="1" applyBorder="1" applyAlignment="1">
      <alignment wrapText="1"/>
    </xf>
    <xf numFmtId="0" fontId="10" fillId="0" borderId="24" xfId="0" applyFont="1" applyBorder="1"/>
    <xf numFmtId="0" fontId="10" fillId="0" borderId="16" xfId="0" applyFont="1" applyBorder="1"/>
    <xf numFmtId="0" fontId="10" fillId="0" borderId="17" xfId="0" applyFont="1" applyBorder="1"/>
    <xf numFmtId="0" fontId="10" fillId="0" borderId="0" xfId="0" applyFont="1" applyBorder="1" applyAlignment="1">
      <alignment wrapText="1"/>
    </xf>
    <xf numFmtId="0" fontId="10" fillId="0" borderId="0" xfId="0" applyFont="1" applyBorder="1"/>
    <xf numFmtId="0" fontId="10" fillId="0" borderId="18" xfId="0" applyFont="1" applyBorder="1"/>
    <xf numFmtId="0" fontId="10" fillId="0" borderId="19" xfId="0" applyFont="1" applyBorder="1"/>
    <xf numFmtId="0" fontId="10" fillId="0" borderId="14" xfId="0" applyFont="1" applyBorder="1" applyAlignment="1">
      <alignment wrapText="1"/>
    </xf>
    <xf numFmtId="0" fontId="10" fillId="0" borderId="14" xfId="0" applyFont="1" applyBorder="1"/>
    <xf numFmtId="0" fontId="10" fillId="0" borderId="20" xfId="0" applyFont="1" applyBorder="1"/>
    <xf numFmtId="0" fontId="10" fillId="0" borderId="24" xfId="0" applyFont="1" applyFill="1" applyBorder="1" applyAlignment="1">
      <alignment wrapText="1"/>
    </xf>
    <xf numFmtId="0" fontId="10" fillId="0" borderId="0" xfId="0" applyFont="1" applyFill="1" applyBorder="1"/>
    <xf numFmtId="0" fontId="10" fillId="0" borderId="14" xfId="0" applyFont="1" applyFill="1" applyBorder="1"/>
    <xf numFmtId="0" fontId="15" fillId="7" borderId="15" xfId="0" applyFont="1" applyFill="1" applyBorder="1"/>
    <xf numFmtId="0" fontId="15" fillId="0" borderId="24" xfId="0" applyFont="1" applyBorder="1"/>
    <xf numFmtId="0" fontId="15" fillId="0" borderId="24" xfId="0" applyFont="1" applyBorder="1" applyAlignment="1">
      <alignment wrapText="1"/>
    </xf>
    <xf numFmtId="0" fontId="0" fillId="0" borderId="16" xfId="0" applyBorder="1" applyAlignment="1">
      <alignment wrapText="1"/>
    </xf>
    <xf numFmtId="0" fontId="0" fillId="0" borderId="0" xfId="0" applyBorder="1" applyAlignment="1">
      <alignment wrapText="1"/>
    </xf>
    <xf numFmtId="0" fontId="0" fillId="0" borderId="14" xfId="0" applyBorder="1" applyAlignment="1">
      <alignment wrapText="1"/>
    </xf>
    <xf numFmtId="0" fontId="0" fillId="0" borderId="0" xfId="0" applyFont="1" applyFill="1" applyBorder="1" applyAlignment="1">
      <alignment wrapText="1"/>
    </xf>
    <xf numFmtId="0" fontId="0" fillId="0" borderId="14" xfId="0" applyFont="1" applyFill="1" applyBorder="1" applyAlignment="1">
      <alignment wrapText="1"/>
    </xf>
    <xf numFmtId="0" fontId="15" fillId="7" borderId="15" xfId="0" applyFont="1" applyFill="1" applyBorder="1" applyAlignment="1">
      <alignment wrapText="1"/>
    </xf>
    <xf numFmtId="0" fontId="0" fillId="0" borderId="24" xfId="0" applyBorder="1" applyAlignment="1">
      <alignment wrapText="1"/>
    </xf>
    <xf numFmtId="0" fontId="0" fillId="0" borderId="0" xfId="0" quotePrefix="1" applyFont="1" applyAlignment="1"/>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0" fontId="0" fillId="0" borderId="14" xfId="0" applyNumberFormat="1" applyBorder="1"/>
    <xf numFmtId="4" fontId="9" fillId="9" borderId="10" xfId="0" applyNumberFormat="1" applyFont="1" applyFill="1" applyBorder="1" applyAlignment="1" applyProtection="1">
      <alignment wrapText="1"/>
      <protection locked="0"/>
    </xf>
    <xf numFmtId="4" fontId="9" fillId="9" borderId="1" xfId="0" applyNumberFormat="1" applyFont="1" applyFill="1" applyBorder="1" applyAlignment="1" applyProtection="1">
      <alignment wrapText="1"/>
      <protection locked="0"/>
    </xf>
    <xf numFmtId="1" fontId="27" fillId="0" borderId="0" xfId="0" applyNumberFormat="1" applyFont="1"/>
    <xf numFmtId="0" fontId="27" fillId="0" borderId="0" xfId="0" applyFont="1"/>
    <xf numFmtId="0" fontId="26" fillId="5" borderId="0" xfId="0" applyFont="1" applyFill="1" applyAlignment="1" applyProtection="1">
      <alignment wrapText="1"/>
    </xf>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25" xfId="5" applyFont="1" applyFill="1" applyBorder="1" applyAlignment="1" applyProtection="1"/>
    <xf numFmtId="0" fontId="3" fillId="8" borderId="1" xfId="0" applyNumberFormat="1" applyFont="1" applyFill="1" applyBorder="1" applyAlignment="1" applyProtection="1">
      <alignment horizontal="right" wrapText="1"/>
    </xf>
    <xf numFmtId="0" fontId="0" fillId="10" borderId="0" xfId="0" applyFill="1"/>
    <xf numFmtId="0" fontId="26" fillId="10" borderId="0" xfId="0" applyFont="1" applyFill="1"/>
    <xf numFmtId="4" fontId="20" fillId="8" borderId="1" xfId="0" applyNumberFormat="1" applyFont="1" applyFill="1" applyBorder="1" applyAlignment="1" applyProtection="1">
      <alignment horizontal="right" wrapText="1"/>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8" fillId="0" borderId="0" xfId="0" applyFont="1" applyBorder="1" applyAlignment="1">
      <alignment horizontal="center" vertical="center" wrapText="1"/>
    </xf>
    <xf numFmtId="0" fontId="28"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26" xfId="0" applyFont="1" applyFill="1" applyBorder="1" applyAlignment="1" applyProtection="1">
      <alignment horizontal="center" vertical="center" wrapText="1"/>
    </xf>
    <xf numFmtId="0" fontId="2" fillId="2" borderId="1" xfId="0" applyFont="1" applyFill="1" applyBorder="1" applyAlignment="1" applyProtection="1">
      <alignment horizontal="right" vertical="center" wrapText="1"/>
      <protection locked="0"/>
    </xf>
    <xf numFmtId="0" fontId="2" fillId="4" borderId="27"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4" borderId="5" xfId="0" applyFont="1" applyFill="1" applyBorder="1" applyAlignment="1" applyProtection="1">
      <alignment horizontal="right" vertical="center" wrapText="1"/>
    </xf>
    <xf numFmtId="0" fontId="16" fillId="6" borderId="9" xfId="0" applyFont="1" applyFill="1" applyBorder="1" applyAlignment="1" applyProtection="1">
      <alignment horizontal="center" vertical="center" wrapText="1"/>
    </xf>
    <xf numFmtId="4" fontId="22" fillId="4" borderId="4" xfId="0" applyNumberFormat="1" applyFont="1" applyFill="1" applyBorder="1" applyAlignment="1" applyProtection="1">
      <alignment horizontal="right" wrapText="1"/>
    </xf>
    <xf numFmtId="4" fontId="22" fillId="4" borderId="2" xfId="0" applyNumberFormat="1" applyFont="1" applyFill="1" applyBorder="1" applyAlignment="1" applyProtection="1">
      <alignment horizontal="right" wrapText="1"/>
    </xf>
    <xf numFmtId="49" fontId="22" fillId="4" borderId="1" xfId="0" applyNumberFormat="1" applyFont="1" applyFill="1" applyBorder="1" applyAlignment="1" applyProtection="1">
      <alignment horizontal="right" wrapText="1"/>
    </xf>
    <xf numFmtId="49" fontId="22" fillId="4" borderId="4" xfId="0" applyNumberFormat="1" applyFont="1" applyFill="1" applyBorder="1" applyAlignment="1" applyProtection="1">
      <alignment horizontal="right"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49" fontId="22" fillId="4" borderId="5" xfId="0" applyNumberFormat="1" applyFont="1" applyFill="1" applyBorder="1" applyAlignment="1" applyProtection="1">
      <alignment horizontal="right" wrapText="1"/>
    </xf>
    <xf numFmtId="0" fontId="16" fillId="6" borderId="1" xfId="0" applyFont="1" applyFill="1" applyBorder="1" applyAlignment="1" applyProtection="1">
      <alignment horizontal="center" vertical="center" wrapText="1"/>
    </xf>
    <xf numFmtId="49" fontId="2" fillId="4" borderId="11" xfId="0" applyNumberFormat="1" applyFont="1" applyFill="1" applyBorder="1" applyAlignment="1" applyProtection="1">
      <alignment horizontal="right" wrapText="1"/>
    </xf>
    <xf numFmtId="0" fontId="16" fillId="6" borderId="12" xfId="0" applyFont="1" applyFill="1" applyBorder="1" applyAlignment="1" applyProtection="1">
      <alignment horizontal="center" vertical="center" wrapText="1"/>
    </xf>
    <xf numFmtId="0" fontId="2" fillId="4" borderId="30" xfId="0" applyFont="1" applyFill="1" applyBorder="1" applyAlignment="1">
      <alignment horizontal="right" vertical="center" wrapText="1"/>
    </xf>
    <xf numFmtId="0" fontId="2" fillId="4" borderId="30" xfId="0" applyFont="1" applyFill="1" applyBorder="1" applyAlignment="1">
      <alignment horizontal="center"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50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30859"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8187"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8188"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858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858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858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8589"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8</xdr:row>
      <xdr:rowOff>85725</xdr:rowOff>
    </xdr:from>
    <xdr:to>
      <xdr:col>3</xdr:col>
      <xdr:colOff>1019175</xdr:colOff>
      <xdr:row>9</xdr:row>
      <xdr:rowOff>390525</xdr:rowOff>
    </xdr:to>
    <xdr:grpSp>
      <xdr:nvGrpSpPr>
        <xdr:cNvPr id="33151" name="Group 1"/>
        <xdr:cNvGrpSpPr>
          <a:grpSpLocks/>
        </xdr:cNvGrpSpPr>
      </xdr:nvGrpSpPr>
      <xdr:grpSpPr bwMode="auto">
        <a:xfrm>
          <a:off x="4552950" y="2705100"/>
          <a:ext cx="2009775" cy="771525"/>
          <a:chOff x="4552950" y="2657475"/>
          <a:chExt cx="2009775" cy="770887"/>
        </a:xfrm>
      </xdr:grpSpPr>
      <xdr:pic macro="[0]!Sheet10.addRow_DtlsSalPdBftsPayeDedFrmDsblEmp_List">
        <xdr:nvPicPr>
          <xdr:cNvPr id="3315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315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315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DtlsSalPdBftsPayeDedFrmDsblEmp_List">
        <xdr:nvPicPr>
          <xdr:cNvPr id="3315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962025</xdr:colOff>
      <xdr:row>5</xdr:row>
      <xdr:rowOff>104775</xdr:rowOff>
    </xdr:from>
    <xdr:to>
      <xdr:col>3</xdr:col>
      <xdr:colOff>1123950</xdr:colOff>
      <xdr:row>6</xdr:row>
      <xdr:rowOff>400050</xdr:rowOff>
    </xdr:to>
    <xdr:grpSp>
      <xdr:nvGrpSpPr>
        <xdr:cNvPr id="34175" name="Group 1"/>
        <xdr:cNvGrpSpPr>
          <a:grpSpLocks/>
        </xdr:cNvGrpSpPr>
      </xdr:nvGrpSpPr>
      <xdr:grpSpPr bwMode="auto">
        <a:xfrm>
          <a:off x="4657725" y="1581150"/>
          <a:ext cx="2009775" cy="771525"/>
          <a:chOff x="4657725" y="1514475"/>
          <a:chExt cx="2009775" cy="771525"/>
        </a:xfrm>
      </xdr:grpSpPr>
      <xdr:pic macro="[0]!Sheet5.addRow_CarBenefit_List">
        <xdr:nvPicPr>
          <xdr:cNvPr id="3417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417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417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CarBenefit_List">
        <xdr:nvPicPr>
          <xdr:cNvPr id="34179"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962025</xdr:colOff>
      <xdr:row>5</xdr:row>
      <xdr:rowOff>85725</xdr:rowOff>
    </xdr:from>
    <xdr:to>
      <xdr:col>3</xdr:col>
      <xdr:colOff>1123950</xdr:colOff>
      <xdr:row>6</xdr:row>
      <xdr:rowOff>381000</xdr:rowOff>
    </xdr:to>
    <xdr:grpSp>
      <xdr:nvGrpSpPr>
        <xdr:cNvPr id="36216" name="Group 1"/>
        <xdr:cNvGrpSpPr>
          <a:grpSpLocks/>
        </xdr:cNvGrpSpPr>
      </xdr:nvGrpSpPr>
      <xdr:grpSpPr bwMode="auto">
        <a:xfrm>
          <a:off x="4657725" y="1543050"/>
          <a:ext cx="2009775" cy="771525"/>
          <a:chOff x="4657725" y="1495425"/>
          <a:chExt cx="2009775" cy="771525"/>
        </a:xfrm>
      </xdr:grpSpPr>
      <xdr:pic macro="[0]!Sheet13.addRow_InsReliefDtls_List">
        <xdr:nvPicPr>
          <xdr:cNvPr id="36217"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621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6219"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InsReliefDtls_List">
        <xdr:nvPicPr>
          <xdr:cNvPr id="36220"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1038225</xdr:colOff>
      <xdr:row>5</xdr:row>
      <xdr:rowOff>114300</xdr:rowOff>
    </xdr:from>
    <xdr:to>
      <xdr:col>3</xdr:col>
      <xdr:colOff>1200150</xdr:colOff>
      <xdr:row>6</xdr:row>
      <xdr:rowOff>409575</xdr:rowOff>
    </xdr:to>
    <xdr:grpSp>
      <xdr:nvGrpSpPr>
        <xdr:cNvPr id="37240" name="Group 1"/>
        <xdr:cNvGrpSpPr>
          <a:grpSpLocks/>
        </xdr:cNvGrpSpPr>
      </xdr:nvGrpSpPr>
      <xdr:grpSpPr bwMode="auto">
        <a:xfrm>
          <a:off x="4733925" y="2228850"/>
          <a:ext cx="2009775" cy="771525"/>
          <a:chOff x="4733925" y="2171700"/>
          <a:chExt cx="2009172" cy="771525"/>
        </a:xfrm>
      </xdr:grpSpPr>
      <xdr:pic macro="[0]!Sheet14.addRow_TaxPdOnLumpSumPdAftrTrmtn_List">
        <xdr:nvPicPr>
          <xdr:cNvPr id="3724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724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724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TaxPdOnLumpSumPdAftrTrmtn_List">
        <xdr:nvPicPr>
          <xdr:cNvPr id="3724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942975</xdr:colOff>
      <xdr:row>7</xdr:row>
      <xdr:rowOff>95250</xdr:rowOff>
    </xdr:from>
    <xdr:to>
      <xdr:col>3</xdr:col>
      <xdr:colOff>1104900</xdr:colOff>
      <xdr:row>8</xdr:row>
      <xdr:rowOff>390525</xdr:rowOff>
    </xdr:to>
    <xdr:grpSp>
      <xdr:nvGrpSpPr>
        <xdr:cNvPr id="32141" name="Group 1"/>
        <xdr:cNvGrpSpPr>
          <a:grpSpLocks/>
        </xdr:cNvGrpSpPr>
      </xdr:nvGrpSpPr>
      <xdr:grpSpPr bwMode="auto">
        <a:xfrm>
          <a:off x="4638675" y="2733675"/>
          <a:ext cx="2009775" cy="771525"/>
          <a:chOff x="4638675" y="2667000"/>
          <a:chExt cx="2009775" cy="771525"/>
        </a:xfrm>
      </xdr:grpSpPr>
      <xdr:pic macro="[0]!Sheet15.addRow_DtlsArrSalPdBftsPayeDedFrmEmp_List">
        <xdr:nvPicPr>
          <xdr:cNvPr id="3214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214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214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DtlsArrSalPdBftsPayeDedFrmEmp_List">
        <xdr:nvPicPr>
          <xdr:cNvPr id="3214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1009650</xdr:colOff>
      <xdr:row>7</xdr:row>
      <xdr:rowOff>95250</xdr:rowOff>
    </xdr:from>
    <xdr:to>
      <xdr:col>3</xdr:col>
      <xdr:colOff>1171575</xdr:colOff>
      <xdr:row>8</xdr:row>
      <xdr:rowOff>390525</xdr:rowOff>
    </xdr:to>
    <xdr:grpSp>
      <xdr:nvGrpSpPr>
        <xdr:cNvPr id="35199" name="Group 1"/>
        <xdr:cNvGrpSpPr>
          <a:grpSpLocks/>
        </xdr:cNvGrpSpPr>
      </xdr:nvGrpSpPr>
      <xdr:grpSpPr bwMode="auto">
        <a:xfrm>
          <a:off x="4705350" y="2724150"/>
          <a:ext cx="2009775" cy="771525"/>
          <a:chOff x="4705350" y="2667000"/>
          <a:chExt cx="2009775" cy="771525"/>
        </a:xfrm>
      </xdr:grpSpPr>
      <xdr:pic macro="[0]!Sheet16.addRow_DtlsArrSalPdBftsPayeDedFrmDsblEmp_List">
        <xdr:nvPicPr>
          <xdr:cNvPr id="35200"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5201"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5202"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DtlsArrSalPdBftsPayeDedFrmDsblEmp_List">
        <xdr:nvPicPr>
          <xdr:cNvPr id="35203"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1600200</xdr:colOff>
      <xdr:row>5</xdr:row>
      <xdr:rowOff>314325</xdr:rowOff>
    </xdr:from>
    <xdr:to>
      <xdr:col>3</xdr:col>
      <xdr:colOff>666750</xdr:colOff>
      <xdr:row>6</xdr:row>
      <xdr:rowOff>190500</xdr:rowOff>
    </xdr:to>
    <xdr:pic macro="[0]!Sheet18.addRow_CalPayeTaxPyblOnGratI_List">
      <xdr:nvPicPr>
        <xdr:cNvPr id="3017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514350</xdr:colOff>
      <xdr:row>12</xdr:row>
      <xdr:rowOff>19050</xdr:rowOff>
    </xdr:from>
    <xdr:to>
      <xdr:col>4</xdr:col>
      <xdr:colOff>1428750</xdr:colOff>
      <xdr:row>12</xdr:row>
      <xdr:rowOff>361950</xdr:rowOff>
    </xdr:to>
    <xdr:pic macro="[0]!findNext_sheet">
      <xdr:nvPicPr>
        <xdr:cNvPr id="3017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05750" y="4276725"/>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xdr:col>
      <xdr:colOff>1266825</xdr:colOff>
      <xdr:row>12</xdr:row>
      <xdr:rowOff>19050</xdr:rowOff>
    </xdr:from>
    <xdr:to>
      <xdr:col>4</xdr:col>
      <xdr:colOff>333375</xdr:colOff>
      <xdr:row>12</xdr:row>
      <xdr:rowOff>361950</xdr:rowOff>
    </xdr:to>
    <xdr:pic macro="[0]!findPrev_sheet">
      <xdr:nvPicPr>
        <xdr:cNvPr id="3017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10375" y="4276725"/>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1200150</xdr:colOff>
      <xdr:row>6</xdr:row>
      <xdr:rowOff>390525</xdr:rowOff>
    </xdr:to>
    <xdr:grpSp>
      <xdr:nvGrpSpPr>
        <xdr:cNvPr id="38261" name="Group 1"/>
        <xdr:cNvGrpSpPr>
          <a:grpSpLocks/>
        </xdr:cNvGrpSpPr>
      </xdr:nvGrpSpPr>
      <xdr:grpSpPr bwMode="auto">
        <a:xfrm>
          <a:off x="4733925" y="1781175"/>
          <a:ext cx="2009775" cy="771525"/>
          <a:chOff x="4733925" y="1714500"/>
          <a:chExt cx="2009172" cy="771525"/>
        </a:xfrm>
      </xdr:grpSpPr>
      <xdr:pic macro="[0]!Sheet17.addRow_Sch10">
        <xdr:nvPicPr>
          <xdr:cNvPr id="3826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Next_sheet">
        <xdr:nvPicPr>
          <xdr:cNvPr id="3826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indPrev_sheet">
        <xdr:nvPicPr>
          <xdr:cNvPr id="3826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macro="[0]!FringeBenf_TaxCalcList">
        <xdr:nvPicPr>
          <xdr:cNvPr id="3826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371475</xdr:colOff>
      <xdr:row>6</xdr:row>
      <xdr:rowOff>57150</xdr:rowOff>
    </xdr:from>
    <xdr:to>
      <xdr:col>1</xdr:col>
      <xdr:colOff>1285875</xdr:colOff>
      <xdr:row>6</xdr:row>
      <xdr:rowOff>409575</xdr:rowOff>
    </xdr:to>
    <xdr:pic macro="[0]!Sheet19.addRow_Sch12">
      <xdr:nvPicPr>
        <xdr:cNvPr id="29585"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958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958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958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2581275</xdr:colOff>
      <xdr:row>16</xdr:row>
      <xdr:rowOff>76200</xdr:rowOff>
    </xdr:from>
    <xdr:to>
      <xdr:col>1</xdr:col>
      <xdr:colOff>3505200</xdr:colOff>
      <xdr:row>16</xdr:row>
      <xdr:rowOff>419100</xdr:rowOff>
    </xdr:to>
    <xdr:pic macro="[0]!findPrev_sheet">
      <xdr:nvPicPr>
        <xdr:cNvPr id="19401"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657850"/>
          <a:ext cx="923925"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3667125</xdr:colOff>
      <xdr:row>16</xdr:row>
      <xdr:rowOff>66675</xdr:rowOff>
    </xdr:from>
    <xdr:to>
      <xdr:col>1</xdr:col>
      <xdr:colOff>4591050</xdr:colOff>
      <xdr:row>16</xdr:row>
      <xdr:rowOff>409575</xdr:rowOff>
    </xdr:to>
    <xdr:pic macro="[0]!createErrorSheet">
      <xdr:nvPicPr>
        <xdr:cNvPr id="19402"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5648325"/>
          <a:ext cx="923925" cy="3429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C26" sqref="C26"/>
    </sheetView>
  </sheetViews>
  <sheetFormatPr defaultColWidth="0" defaultRowHeight="15" zeroHeight="1" x14ac:dyDescent="0.25"/>
  <cols>
    <col min="1" max="1" width="24.7109375" customWidth="1"/>
    <col min="2" max="2" width="8.85546875" customWidth="1"/>
    <col min="3" max="3" width="114.7109375" customWidth="1"/>
  </cols>
  <sheetData>
    <row r="1" spans="1:3" ht="16.5" customHeight="1" x14ac:dyDescent="0.25">
      <c r="A1" s="214" t="s">
        <v>0</v>
      </c>
      <c r="B1" s="214"/>
      <c r="C1" s="214"/>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215" t="s">
        <v>17</v>
      </c>
      <c r="C27" s="215"/>
    </row>
    <row r="28" spans="1:3" ht="15.75" x14ac:dyDescent="0.25">
      <c r="A28" s="11"/>
      <c r="B28" s="11"/>
      <c r="C28" s="11"/>
    </row>
    <row r="29" spans="1:3" ht="15.75" customHeight="1" x14ac:dyDescent="0.25">
      <c r="A29" s="216" t="s">
        <v>18</v>
      </c>
      <c r="B29" s="216"/>
      <c r="C29" s="216"/>
    </row>
    <row r="30" spans="1:3" ht="31.5" customHeight="1" x14ac:dyDescent="0.3">
      <c r="A30" s="217" t="s">
        <v>19</v>
      </c>
      <c r="B30" s="217"/>
      <c r="C30" s="217"/>
    </row>
    <row r="31" spans="1:3" ht="15.75" x14ac:dyDescent="0.25">
      <c r="A31" s="12"/>
      <c r="B31" s="13"/>
      <c r="C31" s="14"/>
    </row>
    <row r="32" spans="1:3" ht="16.5" x14ac:dyDescent="0.3">
      <c r="A32" s="218"/>
      <c r="B32" s="218"/>
      <c r="C32" s="218"/>
    </row>
  </sheetData>
  <sheetProtection password="94AB"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7" sqref="C7"/>
    </sheetView>
  </sheetViews>
  <sheetFormatPr defaultColWidth="0" defaultRowHeight="15" zeroHeight="1" x14ac:dyDescent="0.25"/>
  <cols>
    <col min="1" max="1" width="10.7109375" customWidth="1"/>
    <col min="2" max="2" width="25.7109375" customWidth="1"/>
    <col min="3" max="3" width="50.7109375" customWidth="1"/>
    <col min="4" max="4" width="63.7109375" customWidth="1"/>
    <col min="5" max="5" width="25.7109375" customWidth="1"/>
  </cols>
  <sheetData>
    <row r="1" spans="1:5" ht="24.75" customHeight="1" x14ac:dyDescent="0.25">
      <c r="A1" s="15" t="s">
        <v>20</v>
      </c>
      <c r="B1" s="15" t="s">
        <v>21</v>
      </c>
      <c r="C1" s="15" t="s">
        <v>22</v>
      </c>
      <c r="D1" s="15" t="s">
        <v>23</v>
      </c>
      <c r="E1" s="15" t="s">
        <v>24</v>
      </c>
    </row>
    <row r="2" spans="1:5" ht="15.75" x14ac:dyDescent="0.25">
      <c r="A2" s="16"/>
      <c r="B2" s="17"/>
      <c r="C2" s="18"/>
      <c r="D2" s="17"/>
      <c r="E2" s="17"/>
    </row>
    <row r="3" spans="1:5" ht="15.75" x14ac:dyDescent="0.25">
      <c r="A3" s="16"/>
      <c r="B3" s="17"/>
      <c r="C3" s="18"/>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
      <c r="D9" s="17"/>
      <c r="E9" s="17"/>
    </row>
    <row r="10" spans="1:5" ht="15.75" x14ac:dyDescent="0.25">
      <c r="A10" s="16"/>
      <c r="B10" s="17"/>
      <c r="C10" s="18"/>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19"/>
      <c r="D36" s="17"/>
      <c r="E36" s="17"/>
    </row>
    <row r="37" spans="1:5" ht="15.75" x14ac:dyDescent="0.25">
      <c r="A37" s="16"/>
      <c r="B37" s="17"/>
      <c r="C37" s="19"/>
      <c r="D37" s="17"/>
      <c r="E37" s="17"/>
    </row>
    <row r="38" spans="1:5" ht="15.75" x14ac:dyDescent="0.25">
      <c r="A38" s="16"/>
      <c r="B38" s="17"/>
      <c r="C38" s="19"/>
      <c r="D38" s="17"/>
      <c r="E38" s="17"/>
    </row>
    <row r="39" spans="1:5" ht="15.75" x14ac:dyDescent="0.25">
      <c r="A39" s="16"/>
      <c r="B39" s="17"/>
      <c r="C39" s="19"/>
      <c r="D39" s="17"/>
      <c r="E39" s="17"/>
    </row>
    <row r="40" spans="1:5" ht="15.75" x14ac:dyDescent="0.25">
      <c r="A40" s="16"/>
      <c r="B40" s="17"/>
      <c r="C40" s="19"/>
      <c r="D40" s="17"/>
      <c r="E40" s="17"/>
    </row>
    <row r="41" spans="1:5" ht="15.75" x14ac:dyDescent="0.25">
      <c r="A41" s="16"/>
      <c r="B41" s="17"/>
      <c r="C41" s="19"/>
      <c r="D41" s="17"/>
      <c r="E41" s="17"/>
    </row>
    <row r="42" spans="1:5" ht="15.75" x14ac:dyDescent="0.25">
      <c r="A42" s="16"/>
      <c r="B42" s="17"/>
      <c r="C42" s="19"/>
      <c r="D42" s="17"/>
      <c r="E42" s="17"/>
    </row>
    <row r="43" spans="1:5" ht="15.75" x14ac:dyDescent="0.25">
      <c r="A43" s="16"/>
      <c r="B43" s="17"/>
      <c r="C43" s="19"/>
      <c r="D43" s="17"/>
      <c r="E43" s="17"/>
    </row>
    <row r="44" spans="1:5" ht="15.75" x14ac:dyDescent="0.25">
      <c r="A44" s="16"/>
      <c r="B44" s="17"/>
      <c r="C44" s="19"/>
      <c r="D44" s="17"/>
      <c r="E44" s="17"/>
    </row>
    <row r="45" spans="1:5" ht="15.75" x14ac:dyDescent="0.25">
      <c r="A45" s="16"/>
      <c r="B45" s="17"/>
      <c r="C45" s="19"/>
      <c r="D45" s="17"/>
      <c r="E45" s="17"/>
    </row>
    <row r="46" spans="1:5" ht="15.75" x14ac:dyDescent="0.25">
      <c r="A46" s="16"/>
      <c r="B46" s="17"/>
      <c r="C46" s="19"/>
      <c r="D46" s="17"/>
      <c r="E46" s="17"/>
    </row>
    <row r="47" spans="1:5" ht="15.75" x14ac:dyDescent="0.25">
      <c r="A47" s="16"/>
      <c r="B47" s="17"/>
      <c r="C47" s="19"/>
      <c r="D47" s="17"/>
      <c r="E47" s="17"/>
    </row>
    <row r="48" spans="1:5" ht="15.75" x14ac:dyDescent="0.25">
      <c r="A48" s="16"/>
      <c r="B48" s="17"/>
      <c r="C48" s="19"/>
      <c r="D48" s="17"/>
      <c r="E48" s="17"/>
    </row>
    <row r="49" spans="1:5" ht="15.75" x14ac:dyDescent="0.25">
      <c r="A49" s="16"/>
      <c r="B49" s="17"/>
      <c r="C49" s="19"/>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sheetProtection password="94AB"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96"/>
  <sheetViews>
    <sheetView topLeftCell="A12" zoomScale="115" zoomScaleNormal="115" workbookViewId="0">
      <selection activeCell="C26" sqref="C26"/>
    </sheetView>
  </sheetViews>
  <sheetFormatPr defaultRowHeight="15" x14ac:dyDescent="0.25"/>
  <cols>
    <col min="1" max="2" width="13.85546875" style="21" customWidth="1"/>
    <col min="3" max="3" width="19.7109375" style="21" customWidth="1"/>
    <col min="4" max="4" width="28.42578125" style="21" customWidth="1"/>
    <col min="5" max="8" width="24.5703125" style="21" customWidth="1"/>
    <col min="9" max="9" width="36.140625" style="21" bestFit="1" customWidth="1"/>
    <col min="10" max="10" width="13.85546875" style="21" customWidth="1"/>
    <col min="11" max="11" width="24.85546875" style="22" customWidth="1"/>
    <col min="12" max="12" width="17.85546875" style="21" bestFit="1" customWidth="1"/>
    <col min="13" max="14" width="13.85546875" style="21" customWidth="1"/>
    <col min="15" max="15" width="15.5703125" style="21" bestFit="1" customWidth="1"/>
    <col min="16" max="18" width="13.85546875" style="21" customWidth="1"/>
    <col min="19" max="19" width="70" style="21" bestFit="1" customWidth="1"/>
    <col min="20" max="20" width="13.85546875" style="21" customWidth="1"/>
    <col min="21" max="21" width="11.42578125" style="21" bestFit="1" customWidth="1"/>
    <col min="22" max="22" width="9.140625" style="21"/>
    <col min="23" max="23" width="16.7109375" style="21" bestFit="1" customWidth="1"/>
    <col min="24" max="26" width="9.140625" style="21"/>
    <col min="27" max="27" width="8.5703125" style="21" customWidth="1"/>
    <col min="28" max="16384" width="9.140625" style="21"/>
  </cols>
  <sheetData>
    <row r="1" spans="1:30" ht="16.5" x14ac:dyDescent="0.3">
      <c r="A1" s="131" t="s">
        <v>25</v>
      </c>
      <c r="B1" s="137" t="s">
        <v>26</v>
      </c>
      <c r="C1" s="131" t="s">
        <v>27</v>
      </c>
      <c r="D1" s="131" t="s">
        <v>28</v>
      </c>
      <c r="E1" s="137" t="s">
        <v>29</v>
      </c>
      <c r="F1" s="23"/>
      <c r="G1" s="131" t="s">
        <v>30</v>
      </c>
      <c r="H1" s="157" t="s">
        <v>31</v>
      </c>
      <c r="I1" s="137" t="s">
        <v>32</v>
      </c>
      <c r="K1" s="151" t="s">
        <v>33</v>
      </c>
      <c r="L1" s="132" t="s">
        <v>34</v>
      </c>
      <c r="M1" s="131" t="s">
        <v>35</v>
      </c>
      <c r="N1" s="129" t="s">
        <v>36</v>
      </c>
      <c r="O1" s="137" t="s">
        <v>37</v>
      </c>
      <c r="Q1" s="143" t="s">
        <v>38</v>
      </c>
      <c r="R1" s="129" t="s">
        <v>39</v>
      </c>
      <c r="S1" s="132" t="s">
        <v>40</v>
      </c>
      <c r="U1" s="143" t="s">
        <v>41</v>
      </c>
      <c r="V1" s="154" t="s">
        <v>42</v>
      </c>
      <c r="W1" s="132" t="s">
        <v>43</v>
      </c>
      <c r="AA1" s="143" t="s">
        <v>44</v>
      </c>
      <c r="AB1" s="154" t="s">
        <v>45</v>
      </c>
      <c r="AC1" s="154" t="s">
        <v>46</v>
      </c>
      <c r="AD1" s="137" t="s">
        <v>47</v>
      </c>
    </row>
    <row r="2" spans="1:30" ht="16.5" x14ac:dyDescent="0.3">
      <c r="A2" s="133" t="s">
        <v>48</v>
      </c>
      <c r="B2" s="155" t="s">
        <v>49</v>
      </c>
      <c r="C2" s="133" t="s">
        <v>50</v>
      </c>
      <c r="D2" s="133" t="s">
        <v>51</v>
      </c>
      <c r="E2" s="155" t="s">
        <v>52</v>
      </c>
      <c r="G2" s="149" t="s">
        <v>53</v>
      </c>
      <c r="H2" s="129" t="s">
        <v>54</v>
      </c>
      <c r="I2" s="134" t="s">
        <v>55</v>
      </c>
      <c r="K2" s="152" t="s">
        <v>56</v>
      </c>
      <c r="L2" s="134" t="s">
        <v>57</v>
      </c>
      <c r="M2" s="149" t="s">
        <v>58</v>
      </c>
      <c r="N2" s="129" t="s">
        <v>59</v>
      </c>
      <c r="O2" s="134" t="s">
        <v>60</v>
      </c>
      <c r="Q2" s="149" t="s">
        <v>61</v>
      </c>
      <c r="R2" s="129" t="s">
        <v>62</v>
      </c>
      <c r="S2" s="134" t="s">
        <v>63</v>
      </c>
      <c r="U2" s="149" t="s">
        <v>64</v>
      </c>
      <c r="V2" s="129" t="s">
        <v>65</v>
      </c>
      <c r="W2" s="134" t="s">
        <v>66</v>
      </c>
      <c r="AA2" s="133" t="s">
        <v>67</v>
      </c>
      <c r="AB2" s="129" t="s">
        <v>68</v>
      </c>
      <c r="AC2" s="129" t="s">
        <v>69</v>
      </c>
      <c r="AD2" s="155" t="s">
        <v>70</v>
      </c>
    </row>
    <row r="3" spans="1:30" ht="30.75" x14ac:dyDescent="0.3">
      <c r="A3" s="135" t="s">
        <v>71</v>
      </c>
      <c r="B3" s="156" t="s">
        <v>72</v>
      </c>
      <c r="C3" s="135" t="s">
        <v>73</v>
      </c>
      <c r="D3" s="135" t="s">
        <v>74</v>
      </c>
      <c r="E3" s="156" t="s">
        <v>75</v>
      </c>
      <c r="G3" s="149" t="s">
        <v>76</v>
      </c>
      <c r="H3" s="129" t="s">
        <v>68</v>
      </c>
      <c r="I3" s="134" t="s">
        <v>53</v>
      </c>
      <c r="K3" s="152" t="s">
        <v>77</v>
      </c>
      <c r="L3" s="134" t="s">
        <v>78</v>
      </c>
      <c r="M3" s="150" t="s">
        <v>79</v>
      </c>
      <c r="N3" s="130" t="s">
        <v>60</v>
      </c>
      <c r="O3" s="136" t="s">
        <v>59</v>
      </c>
      <c r="Q3" s="149" t="s">
        <v>80</v>
      </c>
      <c r="R3" s="129" t="s">
        <v>81</v>
      </c>
      <c r="S3" s="134" t="s">
        <v>80</v>
      </c>
      <c r="U3" s="150" t="s">
        <v>66</v>
      </c>
      <c r="V3" s="130" t="s">
        <v>82</v>
      </c>
      <c r="W3" s="136" t="s">
        <v>64</v>
      </c>
      <c r="AA3" s="149"/>
      <c r="AB3" s="129" t="s">
        <v>83</v>
      </c>
      <c r="AC3" s="129" t="s">
        <v>84</v>
      </c>
      <c r="AD3" s="155" t="s">
        <v>85</v>
      </c>
    </row>
    <row r="4" spans="1:30" ht="16.5" x14ac:dyDescent="0.3">
      <c r="A4" s="23"/>
      <c r="B4" s="23"/>
      <c r="C4" s="23"/>
      <c r="G4" s="149" t="s">
        <v>86</v>
      </c>
      <c r="H4" s="129" t="s">
        <v>87</v>
      </c>
      <c r="I4" s="134" t="s">
        <v>76</v>
      </c>
      <c r="K4" s="152" t="s">
        <v>88</v>
      </c>
      <c r="L4" s="134" t="s">
        <v>89</v>
      </c>
      <c r="Q4" s="150" t="s">
        <v>63</v>
      </c>
      <c r="R4" s="130" t="s">
        <v>90</v>
      </c>
      <c r="S4" s="136" t="s">
        <v>61</v>
      </c>
      <c r="AA4" s="149"/>
      <c r="AB4" s="129" t="s">
        <v>91</v>
      </c>
      <c r="AC4" s="129" t="s">
        <v>92</v>
      </c>
      <c r="AD4" s="155" t="s">
        <v>93</v>
      </c>
    </row>
    <row r="5" spans="1:30" ht="16.5" x14ac:dyDescent="0.3">
      <c r="A5" s="23"/>
      <c r="B5" s="23"/>
      <c r="C5" s="128"/>
      <c r="D5" s="129"/>
      <c r="G5" s="149" t="s">
        <v>55</v>
      </c>
      <c r="H5" s="129" t="s">
        <v>94</v>
      </c>
      <c r="I5" s="134" t="s">
        <v>86</v>
      </c>
      <c r="K5" s="153" t="s">
        <v>95</v>
      </c>
      <c r="L5" s="136" t="s">
        <v>96</v>
      </c>
      <c r="AA5" s="149"/>
      <c r="AB5" s="129" t="s">
        <v>97</v>
      </c>
      <c r="AC5" s="129" t="s">
        <v>98</v>
      </c>
      <c r="AD5" s="155" t="s">
        <v>99</v>
      </c>
    </row>
    <row r="6" spans="1:30" ht="16.5" x14ac:dyDescent="0.3">
      <c r="A6" s="131" t="s">
        <v>100</v>
      </c>
      <c r="B6" s="157" t="s">
        <v>101</v>
      </c>
      <c r="C6" s="157" t="s">
        <v>102</v>
      </c>
      <c r="D6" s="132"/>
      <c r="E6" s="143" t="s">
        <v>103</v>
      </c>
      <c r="F6" s="132" t="s">
        <v>104</v>
      </c>
      <c r="G6" s="130" t="s">
        <v>105</v>
      </c>
      <c r="H6" s="129" t="s">
        <v>106</v>
      </c>
      <c r="I6" s="134" t="s">
        <v>105</v>
      </c>
      <c r="J6" s="149"/>
      <c r="K6" s="148"/>
      <c r="AA6" s="149"/>
      <c r="AB6" s="129" t="s">
        <v>107</v>
      </c>
      <c r="AC6" s="129"/>
      <c r="AD6" s="155" t="s">
        <v>108</v>
      </c>
    </row>
    <row r="7" spans="1:30" ht="16.5" x14ac:dyDescent="0.3">
      <c r="A7" s="133" t="s">
        <v>109</v>
      </c>
      <c r="B7" s="129" t="s">
        <v>110</v>
      </c>
      <c r="C7" s="128" t="s">
        <v>111</v>
      </c>
      <c r="D7" s="134" t="s">
        <v>112</v>
      </c>
      <c r="E7" s="149" t="s">
        <v>113</v>
      </c>
      <c r="F7" s="134" t="s">
        <v>114</v>
      </c>
      <c r="H7" s="143" t="s">
        <v>115</v>
      </c>
      <c r="I7" s="132" t="s">
        <v>116</v>
      </c>
      <c r="K7" s="24"/>
      <c r="AA7" s="133" t="s">
        <v>117</v>
      </c>
      <c r="AB7" s="129" t="s">
        <v>68</v>
      </c>
      <c r="AC7" s="129" t="s">
        <v>69</v>
      </c>
      <c r="AD7" s="155" t="s">
        <v>70</v>
      </c>
    </row>
    <row r="8" spans="1:30" ht="16.5" x14ac:dyDescent="0.3">
      <c r="A8" s="133" t="s">
        <v>118</v>
      </c>
      <c r="B8" s="129" t="s">
        <v>119</v>
      </c>
      <c r="C8" s="128" t="s">
        <v>120</v>
      </c>
      <c r="D8" s="134" t="s">
        <v>121</v>
      </c>
      <c r="E8" s="149" t="s">
        <v>122</v>
      </c>
      <c r="F8" s="134" t="s">
        <v>123</v>
      </c>
      <c r="H8" s="149" t="s">
        <v>124</v>
      </c>
      <c r="I8" s="134" t="s">
        <v>125</v>
      </c>
      <c r="K8" s="24"/>
      <c r="AA8" s="149"/>
      <c r="AB8" s="129" t="s">
        <v>83</v>
      </c>
      <c r="AC8" s="129" t="s">
        <v>84</v>
      </c>
      <c r="AD8" s="155" t="s">
        <v>85</v>
      </c>
    </row>
    <row r="9" spans="1:30" ht="16.5" x14ac:dyDescent="0.3">
      <c r="A9" s="133" t="s">
        <v>126</v>
      </c>
      <c r="B9" s="129" t="s">
        <v>127</v>
      </c>
      <c r="C9" s="128" t="s">
        <v>128</v>
      </c>
      <c r="D9" s="134" t="s">
        <v>129</v>
      </c>
      <c r="E9" s="150" t="s">
        <v>130</v>
      </c>
      <c r="F9" s="136" t="s">
        <v>131</v>
      </c>
      <c r="H9" s="149" t="s">
        <v>132</v>
      </c>
      <c r="I9" s="134" t="s">
        <v>133</v>
      </c>
      <c r="K9" s="24"/>
      <c r="V9" s="25"/>
      <c r="AA9" s="149"/>
      <c r="AB9" s="129" t="s">
        <v>91</v>
      </c>
      <c r="AC9" s="129" t="s">
        <v>92</v>
      </c>
      <c r="AD9" s="155" t="s">
        <v>93</v>
      </c>
    </row>
    <row r="10" spans="1:30" ht="16.5" x14ac:dyDescent="0.3">
      <c r="A10" s="133" t="s">
        <v>111</v>
      </c>
      <c r="B10" s="129" t="s">
        <v>121</v>
      </c>
      <c r="C10" s="128" t="s">
        <v>118</v>
      </c>
      <c r="D10" s="134" t="s">
        <v>110</v>
      </c>
      <c r="H10" s="150" t="s">
        <v>134</v>
      </c>
      <c r="I10" s="136" t="s">
        <v>135</v>
      </c>
      <c r="K10" s="24"/>
      <c r="V10" s="25"/>
      <c r="AA10" s="149"/>
      <c r="AB10" s="129" t="s">
        <v>97</v>
      </c>
      <c r="AC10" s="129" t="s">
        <v>98</v>
      </c>
      <c r="AD10" s="155" t="s">
        <v>99</v>
      </c>
    </row>
    <row r="11" spans="1:30" ht="16.5" x14ac:dyDescent="0.3">
      <c r="A11" s="133" t="s">
        <v>136</v>
      </c>
      <c r="B11" s="129" t="s">
        <v>112</v>
      </c>
      <c r="C11" s="128" t="s">
        <v>109</v>
      </c>
      <c r="D11" s="134" t="s">
        <v>137</v>
      </c>
      <c r="K11" s="24"/>
      <c r="S11"/>
      <c r="V11" s="25"/>
      <c r="AA11" s="149"/>
      <c r="AB11" s="129" t="s">
        <v>107</v>
      </c>
      <c r="AC11" s="129"/>
      <c r="AD11" s="155" t="s">
        <v>108</v>
      </c>
    </row>
    <row r="12" spans="1:30" ht="16.5" x14ac:dyDescent="0.3">
      <c r="A12" s="133" t="s">
        <v>138</v>
      </c>
      <c r="B12" s="129" t="s">
        <v>139</v>
      </c>
      <c r="C12" s="128" t="s">
        <v>140</v>
      </c>
      <c r="D12" s="134" t="s">
        <v>141</v>
      </c>
      <c r="M12" s="23"/>
      <c r="S12"/>
      <c r="AA12" s="133" t="s">
        <v>142</v>
      </c>
      <c r="AB12" s="129" t="s">
        <v>68</v>
      </c>
      <c r="AC12" s="129" t="s">
        <v>69</v>
      </c>
      <c r="AD12" s="155" t="s">
        <v>70</v>
      </c>
    </row>
    <row r="13" spans="1:30" ht="16.5" x14ac:dyDescent="0.3">
      <c r="A13" s="133" t="s">
        <v>140</v>
      </c>
      <c r="B13" s="129" t="s">
        <v>141</v>
      </c>
      <c r="C13" s="128" t="s">
        <v>138</v>
      </c>
      <c r="D13" s="134" t="s">
        <v>139</v>
      </c>
      <c r="G13" s="144"/>
      <c r="J13" s="23"/>
      <c r="M13" s="23"/>
      <c r="S13"/>
      <c r="AA13" s="133"/>
      <c r="AB13" s="129" t="s">
        <v>83</v>
      </c>
      <c r="AC13" s="129" t="s">
        <v>84</v>
      </c>
      <c r="AD13" s="155" t="s">
        <v>85</v>
      </c>
    </row>
    <row r="14" spans="1:30" ht="16.5" x14ac:dyDescent="0.3">
      <c r="A14" s="133" t="s">
        <v>120</v>
      </c>
      <c r="B14" s="129" t="s">
        <v>129</v>
      </c>
      <c r="C14" s="128" t="s">
        <v>126</v>
      </c>
      <c r="D14" s="134" t="s">
        <v>119</v>
      </c>
      <c r="H14" s="129"/>
      <c r="M14" s="23"/>
      <c r="S14"/>
      <c r="AA14" s="133"/>
      <c r="AB14" s="129" t="s">
        <v>91</v>
      </c>
      <c r="AC14" s="129" t="s">
        <v>92</v>
      </c>
      <c r="AD14" s="155" t="s">
        <v>93</v>
      </c>
    </row>
    <row r="15" spans="1:30" ht="16.5" x14ac:dyDescent="0.3">
      <c r="A15" s="133" t="s">
        <v>143</v>
      </c>
      <c r="B15" s="129" t="s">
        <v>137</v>
      </c>
      <c r="C15" s="128" t="s">
        <v>136</v>
      </c>
      <c r="D15" s="134" t="s">
        <v>144</v>
      </c>
      <c r="F15" s="143" t="s">
        <v>145</v>
      </c>
      <c r="G15" s="161" t="s">
        <v>146</v>
      </c>
      <c r="H15" s="158" t="s">
        <v>147</v>
      </c>
      <c r="M15" s="23"/>
      <c r="S15"/>
      <c r="AA15" s="133"/>
      <c r="AB15" s="129" t="s">
        <v>97</v>
      </c>
      <c r="AC15" s="129" t="s">
        <v>98</v>
      </c>
      <c r="AD15" s="155" t="s">
        <v>99</v>
      </c>
    </row>
    <row r="16" spans="1:30" ht="16.5" x14ac:dyDescent="0.3">
      <c r="A16" s="133" t="s">
        <v>148</v>
      </c>
      <c r="B16" s="129" t="s">
        <v>149</v>
      </c>
      <c r="C16" s="128" t="s">
        <v>150</v>
      </c>
      <c r="D16" s="134" t="s">
        <v>70</v>
      </c>
      <c r="F16" s="149" t="s">
        <v>151</v>
      </c>
      <c r="G16" s="146" t="s">
        <v>152</v>
      </c>
      <c r="H16" s="159" t="s">
        <v>153</v>
      </c>
      <c r="M16" s="23"/>
      <c r="S16"/>
      <c r="AA16" s="133"/>
      <c r="AB16" s="129" t="s">
        <v>107</v>
      </c>
      <c r="AC16" s="129"/>
      <c r="AD16" s="155" t="s">
        <v>108</v>
      </c>
    </row>
    <row r="17" spans="1:30" ht="16.5" x14ac:dyDescent="0.3">
      <c r="A17" s="133" t="s">
        <v>150</v>
      </c>
      <c r="B17" s="129" t="s">
        <v>70</v>
      </c>
      <c r="C17" s="128" t="s">
        <v>148</v>
      </c>
      <c r="D17" s="134" t="s">
        <v>149</v>
      </c>
      <c r="F17" s="150" t="s">
        <v>152</v>
      </c>
      <c r="G17" s="162" t="s">
        <v>151</v>
      </c>
      <c r="H17" s="160" t="s">
        <v>154</v>
      </c>
      <c r="M17" s="23"/>
      <c r="AA17" s="133" t="s">
        <v>155</v>
      </c>
      <c r="AB17" s="129" t="s">
        <v>68</v>
      </c>
      <c r="AC17" s="129" t="s">
        <v>69</v>
      </c>
      <c r="AD17" s="155" t="s">
        <v>70</v>
      </c>
    </row>
    <row r="18" spans="1:30" ht="16.5" x14ac:dyDescent="0.3">
      <c r="A18" s="135" t="s">
        <v>128</v>
      </c>
      <c r="B18" s="130" t="s">
        <v>144</v>
      </c>
      <c r="C18" s="163" t="s">
        <v>143</v>
      </c>
      <c r="D18" s="136" t="s">
        <v>127</v>
      </c>
      <c r="J18" s="23"/>
      <c r="M18" s="23"/>
      <c r="AA18" s="133"/>
      <c r="AB18" s="129" t="s">
        <v>83</v>
      </c>
      <c r="AC18" s="129" t="s">
        <v>84</v>
      </c>
      <c r="AD18" s="155" t="s">
        <v>85</v>
      </c>
    </row>
    <row r="19" spans="1:30" ht="16.5" x14ac:dyDescent="0.3">
      <c r="M19" s="23"/>
      <c r="AA19" s="133"/>
      <c r="AB19" s="129" t="s">
        <v>91</v>
      </c>
      <c r="AC19" s="129" t="s">
        <v>92</v>
      </c>
      <c r="AD19" s="155" t="s">
        <v>93</v>
      </c>
    </row>
    <row r="20" spans="1:30" ht="16.5" x14ac:dyDescent="0.3">
      <c r="A20" s="131" t="s">
        <v>156</v>
      </c>
      <c r="B20" s="132" t="s">
        <v>157</v>
      </c>
      <c r="C20" s="139" t="s">
        <v>158</v>
      </c>
      <c r="E20" s="140" t="s">
        <v>159</v>
      </c>
      <c r="M20" s="23"/>
      <c r="AA20" s="133"/>
      <c r="AB20" s="129" t="s">
        <v>97</v>
      </c>
      <c r="AC20" s="129" t="s">
        <v>98</v>
      </c>
      <c r="AD20" s="155" t="s">
        <v>99</v>
      </c>
    </row>
    <row r="21" spans="1:30" ht="16.5" x14ac:dyDescent="0.3">
      <c r="A21" s="133">
        <v>2005</v>
      </c>
      <c r="B21" s="134" t="s">
        <v>160</v>
      </c>
      <c r="C21" s="138" t="s">
        <v>161</v>
      </c>
      <c r="E21" s="141" t="s">
        <v>67</v>
      </c>
      <c r="M21" s="23"/>
      <c r="AA21" s="133"/>
      <c r="AB21" s="129" t="s">
        <v>107</v>
      </c>
      <c r="AC21" s="129"/>
      <c r="AD21" s="155" t="s">
        <v>108</v>
      </c>
    </row>
    <row r="22" spans="1:30" ht="16.5" x14ac:dyDescent="0.3">
      <c r="A22" s="133">
        <v>2006</v>
      </c>
      <c r="B22" s="134" t="s">
        <v>162</v>
      </c>
      <c r="C22" s="138" t="s">
        <v>163</v>
      </c>
      <c r="E22" s="141" t="s">
        <v>117</v>
      </c>
      <c r="M22" s="23"/>
      <c r="AA22" s="149" t="s">
        <v>164</v>
      </c>
      <c r="AB22" s="129" t="s">
        <v>68</v>
      </c>
      <c r="AC22" s="129" t="s">
        <v>69</v>
      </c>
      <c r="AD22" s="155" t="s">
        <v>70</v>
      </c>
    </row>
    <row r="23" spans="1:30" ht="16.5" x14ac:dyDescent="0.3">
      <c r="A23" s="133">
        <v>2007</v>
      </c>
      <c r="B23" s="134" t="s">
        <v>67</v>
      </c>
      <c r="C23" s="138" t="s">
        <v>165</v>
      </c>
      <c r="E23" s="141" t="s">
        <v>142</v>
      </c>
      <c r="J23" s="23"/>
      <c r="M23" s="23"/>
      <c r="AA23" s="149"/>
      <c r="AB23" s="129" t="s">
        <v>83</v>
      </c>
      <c r="AC23" s="129" t="s">
        <v>84</v>
      </c>
      <c r="AD23" s="155" t="s">
        <v>85</v>
      </c>
    </row>
    <row r="24" spans="1:30" ht="16.5" x14ac:dyDescent="0.3">
      <c r="A24" s="133">
        <v>2008</v>
      </c>
      <c r="B24" s="134" t="s">
        <v>117</v>
      </c>
      <c r="C24" s="138" t="s">
        <v>166</v>
      </c>
      <c r="E24" s="141" t="s">
        <v>155</v>
      </c>
      <c r="J24" s="23"/>
      <c r="M24" s="23"/>
      <c r="AA24" s="149"/>
      <c r="AB24" s="129" t="s">
        <v>91</v>
      </c>
      <c r="AC24" s="129" t="s">
        <v>92</v>
      </c>
      <c r="AD24" s="155" t="s">
        <v>93</v>
      </c>
    </row>
    <row r="25" spans="1:30" ht="16.5" x14ac:dyDescent="0.3">
      <c r="A25" s="133">
        <v>2009</v>
      </c>
      <c r="B25" s="134" t="s">
        <v>142</v>
      </c>
      <c r="C25" s="138" t="s">
        <v>167</v>
      </c>
      <c r="E25" s="141" t="s">
        <v>164</v>
      </c>
      <c r="J25" s="23"/>
      <c r="M25" s="23"/>
      <c r="AA25" s="149"/>
      <c r="AB25" s="129" t="s">
        <v>97</v>
      </c>
      <c r="AC25" s="129" t="s">
        <v>98</v>
      </c>
      <c r="AD25" s="155" t="s">
        <v>99</v>
      </c>
    </row>
    <row r="26" spans="1:30" ht="16.5" x14ac:dyDescent="0.3">
      <c r="A26" s="133">
        <v>2010</v>
      </c>
      <c r="B26" s="134" t="s">
        <v>155</v>
      </c>
      <c r="C26" s="138" t="s">
        <v>168</v>
      </c>
      <c r="E26" s="141" t="s">
        <v>169</v>
      </c>
      <c r="J26" s="23"/>
      <c r="M26" s="23"/>
      <c r="AA26" s="149"/>
      <c r="AB26" s="129" t="s">
        <v>107</v>
      </c>
      <c r="AC26" s="129"/>
      <c r="AD26" s="155" t="s">
        <v>108</v>
      </c>
    </row>
    <row r="27" spans="1:30" ht="16.5" x14ac:dyDescent="0.3">
      <c r="A27" s="133">
        <v>2011</v>
      </c>
      <c r="B27" s="134" t="s">
        <v>164</v>
      </c>
      <c r="C27" s="138" t="s">
        <v>170</v>
      </c>
      <c r="E27" s="141" t="s">
        <v>171</v>
      </c>
      <c r="J27" s="23"/>
      <c r="M27" s="23"/>
      <c r="AA27" s="149" t="s">
        <v>169</v>
      </c>
      <c r="AB27" s="129" t="s">
        <v>68</v>
      </c>
      <c r="AC27" s="129" t="s">
        <v>172</v>
      </c>
      <c r="AD27" s="155" t="s">
        <v>70</v>
      </c>
    </row>
    <row r="28" spans="1:30" ht="16.5" x14ac:dyDescent="0.3">
      <c r="A28" s="133">
        <v>2012</v>
      </c>
      <c r="B28" s="134" t="s">
        <v>169</v>
      </c>
      <c r="C28" s="138" t="s">
        <v>173</v>
      </c>
      <c r="E28" s="141" t="s">
        <v>174</v>
      </c>
      <c r="J28" s="23"/>
      <c r="M28" s="23"/>
      <c r="AA28" s="149"/>
      <c r="AB28" s="129" t="s">
        <v>175</v>
      </c>
      <c r="AC28" s="129" t="s">
        <v>176</v>
      </c>
      <c r="AD28" s="155" t="s">
        <v>85</v>
      </c>
    </row>
    <row r="29" spans="1:30" ht="16.5" x14ac:dyDescent="0.3">
      <c r="A29" s="133">
        <v>2013</v>
      </c>
      <c r="B29" s="134" t="s">
        <v>171</v>
      </c>
      <c r="C29" s="138" t="s">
        <v>177</v>
      </c>
      <c r="E29" s="141" t="s">
        <v>178</v>
      </c>
      <c r="J29" s="23"/>
      <c r="M29" s="23"/>
      <c r="AA29" s="149"/>
      <c r="AB29" s="129" t="s">
        <v>179</v>
      </c>
      <c r="AC29" s="129" t="s">
        <v>180</v>
      </c>
      <c r="AD29" s="155" t="s">
        <v>93</v>
      </c>
    </row>
    <row r="30" spans="1:30" ht="16.5" x14ac:dyDescent="0.3">
      <c r="A30" s="133">
        <v>2014</v>
      </c>
      <c r="B30" s="134" t="s">
        <v>174</v>
      </c>
      <c r="C30" s="141" t="s">
        <v>181</v>
      </c>
      <c r="E30" s="141" t="s">
        <v>182</v>
      </c>
      <c r="J30" s="23"/>
      <c r="M30" s="23"/>
      <c r="AA30" s="149"/>
      <c r="AB30" s="129" t="s">
        <v>183</v>
      </c>
      <c r="AC30" s="129" t="s">
        <v>184</v>
      </c>
      <c r="AD30" s="155" t="s">
        <v>99</v>
      </c>
    </row>
    <row r="31" spans="1:30" ht="16.5" x14ac:dyDescent="0.3">
      <c r="A31" s="133">
        <v>2015</v>
      </c>
      <c r="B31" s="134" t="s">
        <v>178</v>
      </c>
      <c r="C31" s="141" t="s">
        <v>185</v>
      </c>
      <c r="E31" s="141" t="s">
        <v>186</v>
      </c>
      <c r="J31" s="23"/>
      <c r="M31" s="23"/>
      <c r="AA31" s="149"/>
      <c r="AB31" s="129" t="s">
        <v>187</v>
      </c>
      <c r="AC31" s="129"/>
      <c r="AD31" s="155" t="s">
        <v>108</v>
      </c>
    </row>
    <row r="32" spans="1:30" ht="16.5" x14ac:dyDescent="0.3">
      <c r="A32" s="133" t="s">
        <v>1149</v>
      </c>
      <c r="B32" s="134" t="s">
        <v>182</v>
      </c>
      <c r="C32" s="141" t="s">
        <v>188</v>
      </c>
      <c r="E32" s="141" t="s">
        <v>189</v>
      </c>
      <c r="J32" s="23"/>
      <c r="M32" s="23"/>
      <c r="AA32" s="149" t="s">
        <v>171</v>
      </c>
      <c r="AB32" s="129" t="s">
        <v>68</v>
      </c>
      <c r="AC32" s="129" t="s">
        <v>172</v>
      </c>
      <c r="AD32" s="155" t="s">
        <v>70</v>
      </c>
    </row>
    <row r="33" spans="1:30" ht="16.5" x14ac:dyDescent="0.3">
      <c r="A33" s="149"/>
      <c r="B33" s="134" t="s">
        <v>186</v>
      </c>
      <c r="C33" s="141" t="s">
        <v>190</v>
      </c>
      <c r="E33" s="141" t="s">
        <v>191</v>
      </c>
      <c r="AA33" s="149"/>
      <c r="AB33" s="129" t="s">
        <v>175</v>
      </c>
      <c r="AC33" s="129" t="s">
        <v>176</v>
      </c>
      <c r="AD33" s="155" t="s">
        <v>85</v>
      </c>
    </row>
    <row r="34" spans="1:30" ht="16.5" x14ac:dyDescent="0.3">
      <c r="A34" s="149"/>
      <c r="B34" s="134" t="s">
        <v>189</v>
      </c>
      <c r="C34" s="141" t="s">
        <v>192</v>
      </c>
      <c r="E34" s="142">
        <v>2013</v>
      </c>
      <c r="AA34" s="149"/>
      <c r="AB34" s="129" t="s">
        <v>179</v>
      </c>
      <c r="AC34" s="129" t="s">
        <v>180</v>
      </c>
      <c r="AD34" s="155" t="s">
        <v>93</v>
      </c>
    </row>
    <row r="35" spans="1:30" ht="16.5" x14ac:dyDescent="0.3">
      <c r="A35" s="149"/>
      <c r="B35" s="134" t="s">
        <v>191</v>
      </c>
      <c r="C35" s="142" t="s">
        <v>193</v>
      </c>
      <c r="E35" s="21">
        <v>2014</v>
      </c>
      <c r="AA35" s="149"/>
      <c r="AB35" s="129" t="s">
        <v>183</v>
      </c>
      <c r="AC35" s="129" t="s">
        <v>184</v>
      </c>
      <c r="AD35" s="155" t="s">
        <v>99</v>
      </c>
    </row>
    <row r="36" spans="1:30" ht="16.5" x14ac:dyDescent="0.3">
      <c r="A36" s="150"/>
      <c r="B36" s="136">
        <v>2013</v>
      </c>
      <c r="E36" s="21">
        <v>2015</v>
      </c>
      <c r="AA36" s="149"/>
      <c r="AB36" s="129" t="s">
        <v>187</v>
      </c>
      <c r="AC36" s="129"/>
      <c r="AD36" s="155" t="s">
        <v>108</v>
      </c>
    </row>
    <row r="37" spans="1:30" ht="16.5" x14ac:dyDescent="0.3">
      <c r="B37" s="21">
        <v>2014</v>
      </c>
      <c r="E37" s="21" t="s">
        <v>1149</v>
      </c>
      <c r="AA37" s="149" t="s">
        <v>174</v>
      </c>
      <c r="AB37" s="129" t="s">
        <v>68</v>
      </c>
      <c r="AC37" s="129" t="s">
        <v>172</v>
      </c>
      <c r="AD37" s="155" t="s">
        <v>70</v>
      </c>
    </row>
    <row r="38" spans="1:30" ht="16.5" x14ac:dyDescent="0.3">
      <c r="B38" s="21">
        <v>2015</v>
      </c>
      <c r="AA38" s="149"/>
      <c r="AB38" s="129" t="s">
        <v>175</v>
      </c>
      <c r="AC38" s="129" t="s">
        <v>176</v>
      </c>
      <c r="AD38" s="155" t="s">
        <v>85</v>
      </c>
    </row>
    <row r="39" spans="1:30" ht="16.5" x14ac:dyDescent="0.3">
      <c r="B39" s="21" t="s">
        <v>1149</v>
      </c>
      <c r="AA39" s="149"/>
      <c r="AB39" s="129" t="s">
        <v>179</v>
      </c>
      <c r="AC39" s="129" t="s">
        <v>180</v>
      </c>
      <c r="AD39" s="155" t="s">
        <v>93</v>
      </c>
    </row>
    <row r="40" spans="1:30" ht="16.5" x14ac:dyDescent="0.3">
      <c r="AA40" s="149"/>
      <c r="AB40" s="129" t="s">
        <v>183</v>
      </c>
      <c r="AC40" s="129" t="s">
        <v>184</v>
      </c>
      <c r="AD40" s="155" t="s">
        <v>99</v>
      </c>
    </row>
    <row r="41" spans="1:30" ht="16.5" x14ac:dyDescent="0.3">
      <c r="A41" s="21" t="s">
        <v>94</v>
      </c>
      <c r="AA41" s="149"/>
      <c r="AB41" s="129" t="s">
        <v>187</v>
      </c>
      <c r="AC41" s="129"/>
      <c r="AD41" s="155" t="s">
        <v>108</v>
      </c>
    </row>
    <row r="42" spans="1:30" ht="16.5" x14ac:dyDescent="0.3">
      <c r="A42" s="21" t="s">
        <v>1126</v>
      </c>
      <c r="AA42" s="149" t="s">
        <v>178</v>
      </c>
      <c r="AB42" s="129" t="s">
        <v>68</v>
      </c>
      <c r="AC42" s="129" t="s">
        <v>172</v>
      </c>
      <c r="AD42" s="155" t="s">
        <v>70</v>
      </c>
    </row>
    <row r="43" spans="1:30" ht="16.5" x14ac:dyDescent="0.3">
      <c r="A43" s="21" t="s">
        <v>1127</v>
      </c>
      <c r="AA43" s="149"/>
      <c r="AB43" s="129" t="s">
        <v>175</v>
      </c>
      <c r="AC43" s="129" t="s">
        <v>176</v>
      </c>
      <c r="AD43" s="155" t="s">
        <v>85</v>
      </c>
    </row>
    <row r="44" spans="1:30" ht="16.5" x14ac:dyDescent="0.3">
      <c r="A44" s="21" t="s">
        <v>1124</v>
      </c>
      <c r="AA44" s="149"/>
      <c r="AB44" s="129" t="s">
        <v>179</v>
      </c>
      <c r="AC44" s="129" t="s">
        <v>180</v>
      </c>
      <c r="AD44" s="155" t="s">
        <v>93</v>
      </c>
    </row>
    <row r="45" spans="1:30" ht="16.5" x14ac:dyDescent="0.3">
      <c r="A45" s="21" t="s">
        <v>1125</v>
      </c>
      <c r="AA45" s="149"/>
      <c r="AB45" s="129" t="s">
        <v>183</v>
      </c>
      <c r="AC45" s="129" t="s">
        <v>184</v>
      </c>
      <c r="AD45" s="155" t="s">
        <v>99</v>
      </c>
    </row>
    <row r="46" spans="1:30" ht="16.5" x14ac:dyDescent="0.3">
      <c r="AA46" s="149"/>
      <c r="AB46" s="129" t="s">
        <v>187</v>
      </c>
      <c r="AC46" s="129"/>
      <c r="AD46" s="155" t="s">
        <v>108</v>
      </c>
    </row>
    <row r="47" spans="1:30" ht="16.5" x14ac:dyDescent="0.3">
      <c r="A47" s="21" t="s">
        <v>1131</v>
      </c>
      <c r="AA47" s="149" t="s">
        <v>182</v>
      </c>
      <c r="AB47" s="129" t="s">
        <v>68</v>
      </c>
      <c r="AC47" s="129" t="s">
        <v>172</v>
      </c>
      <c r="AD47" s="155" t="s">
        <v>70</v>
      </c>
    </row>
    <row r="48" spans="1:30" ht="16.5" x14ac:dyDescent="0.3">
      <c r="A48" s="21" t="s">
        <v>273</v>
      </c>
      <c r="AA48" s="149"/>
      <c r="AB48" s="129" t="s">
        <v>175</v>
      </c>
      <c r="AC48" s="129" t="s">
        <v>176</v>
      </c>
      <c r="AD48" s="155" t="s">
        <v>85</v>
      </c>
    </row>
    <row r="49" spans="1:30" ht="16.5" x14ac:dyDescent="0.3">
      <c r="AA49" s="149"/>
      <c r="AB49" s="129" t="s">
        <v>179</v>
      </c>
      <c r="AC49" s="129" t="s">
        <v>180</v>
      </c>
      <c r="AD49" s="155" t="s">
        <v>93</v>
      </c>
    </row>
    <row r="50" spans="1:30" ht="16.5" x14ac:dyDescent="0.3">
      <c r="AA50" s="149"/>
      <c r="AB50" s="129" t="s">
        <v>183</v>
      </c>
      <c r="AC50" s="129" t="s">
        <v>184</v>
      </c>
      <c r="AD50" s="155" t="s">
        <v>99</v>
      </c>
    </row>
    <row r="51" spans="1:30" ht="16.5" x14ac:dyDescent="0.3">
      <c r="AA51" s="149"/>
      <c r="AB51" s="129" t="s">
        <v>187</v>
      </c>
      <c r="AC51" s="129"/>
      <c r="AD51" s="155" t="s">
        <v>108</v>
      </c>
    </row>
    <row r="52" spans="1:30" ht="16.5" x14ac:dyDescent="0.3">
      <c r="AA52" s="149" t="s">
        <v>186</v>
      </c>
      <c r="AB52" s="129" t="s">
        <v>68</v>
      </c>
      <c r="AC52" s="129" t="s">
        <v>172</v>
      </c>
      <c r="AD52" s="155" t="s">
        <v>70</v>
      </c>
    </row>
    <row r="53" spans="1:30" ht="16.5" x14ac:dyDescent="0.3">
      <c r="AA53" s="149"/>
      <c r="AB53" s="129" t="s">
        <v>175</v>
      </c>
      <c r="AC53" s="129" t="s">
        <v>176</v>
      </c>
      <c r="AD53" s="155" t="s">
        <v>85</v>
      </c>
    </row>
    <row r="54" spans="1:30" ht="16.5" x14ac:dyDescent="0.3">
      <c r="A54" s="26" t="s">
        <v>1133</v>
      </c>
      <c r="AA54" s="149"/>
      <c r="AB54" s="129" t="s">
        <v>179</v>
      </c>
      <c r="AC54" s="129" t="s">
        <v>180</v>
      </c>
      <c r="AD54" s="155" t="s">
        <v>93</v>
      </c>
    </row>
    <row r="55" spans="1:30" ht="16.5" x14ac:dyDescent="0.3">
      <c r="A55" s="21" t="s">
        <v>1140</v>
      </c>
      <c r="AA55" s="149"/>
      <c r="AB55" s="129" t="s">
        <v>183</v>
      </c>
      <c r="AC55" s="129" t="s">
        <v>184</v>
      </c>
      <c r="AD55" s="155" t="s">
        <v>99</v>
      </c>
    </row>
    <row r="56" spans="1:30" ht="16.5" x14ac:dyDescent="0.3">
      <c r="AA56" s="149"/>
      <c r="AB56" s="129" t="s">
        <v>187</v>
      </c>
      <c r="AC56" s="129"/>
      <c r="AD56" s="155" t="s">
        <v>108</v>
      </c>
    </row>
    <row r="57" spans="1:30" ht="16.5" x14ac:dyDescent="0.3">
      <c r="AA57" s="149" t="s">
        <v>189</v>
      </c>
      <c r="AB57" s="129" t="s">
        <v>68</v>
      </c>
      <c r="AC57" s="129" t="s">
        <v>172</v>
      </c>
      <c r="AD57" s="155" t="s">
        <v>70</v>
      </c>
    </row>
    <row r="58" spans="1:30" ht="16.5" x14ac:dyDescent="0.3">
      <c r="AA58" s="149"/>
      <c r="AB58" s="129" t="s">
        <v>175</v>
      </c>
      <c r="AC58" s="129" t="s">
        <v>176</v>
      </c>
      <c r="AD58" s="155" t="s">
        <v>85</v>
      </c>
    </row>
    <row r="59" spans="1:30" ht="16.5" x14ac:dyDescent="0.3">
      <c r="AA59" s="149"/>
      <c r="AB59" s="129" t="s">
        <v>179</v>
      </c>
      <c r="AC59" s="129" t="s">
        <v>180</v>
      </c>
      <c r="AD59" s="155" t="s">
        <v>93</v>
      </c>
    </row>
    <row r="60" spans="1:30" ht="16.5" x14ac:dyDescent="0.3">
      <c r="AA60" s="149"/>
      <c r="AB60" s="129" t="s">
        <v>183</v>
      </c>
      <c r="AC60" s="129" t="s">
        <v>184</v>
      </c>
      <c r="AD60" s="155" t="s">
        <v>99</v>
      </c>
    </row>
    <row r="61" spans="1:30" ht="16.5" x14ac:dyDescent="0.3">
      <c r="AA61" s="149"/>
      <c r="AB61" s="129" t="s">
        <v>187</v>
      </c>
      <c r="AC61" s="129"/>
      <c r="AD61" s="155" t="s">
        <v>108</v>
      </c>
    </row>
    <row r="62" spans="1:30" ht="16.5" x14ac:dyDescent="0.3">
      <c r="AA62" s="149" t="s">
        <v>191</v>
      </c>
      <c r="AB62" s="129" t="s">
        <v>68</v>
      </c>
      <c r="AC62" s="129" t="s">
        <v>172</v>
      </c>
      <c r="AD62" s="155" t="s">
        <v>70</v>
      </c>
    </row>
    <row r="63" spans="1:30" ht="16.5" x14ac:dyDescent="0.3">
      <c r="AA63" s="149"/>
      <c r="AB63" s="129" t="s">
        <v>175</v>
      </c>
      <c r="AC63" s="129" t="s">
        <v>176</v>
      </c>
      <c r="AD63" s="155" t="s">
        <v>85</v>
      </c>
    </row>
    <row r="64" spans="1:30" ht="16.5" x14ac:dyDescent="0.3">
      <c r="AA64" s="149"/>
      <c r="AB64" s="129" t="s">
        <v>179</v>
      </c>
      <c r="AC64" s="129" t="s">
        <v>180</v>
      </c>
      <c r="AD64" s="155" t="s">
        <v>93</v>
      </c>
    </row>
    <row r="65" spans="27:30" ht="16.5" x14ac:dyDescent="0.3">
      <c r="AA65" s="149"/>
      <c r="AB65" s="129" t="s">
        <v>183</v>
      </c>
      <c r="AC65" s="129" t="s">
        <v>184</v>
      </c>
      <c r="AD65" s="155" t="s">
        <v>99</v>
      </c>
    </row>
    <row r="66" spans="27:30" ht="16.5" x14ac:dyDescent="0.3">
      <c r="AA66" s="149"/>
      <c r="AB66" s="129" t="s">
        <v>187</v>
      </c>
      <c r="AC66" s="129"/>
      <c r="AD66" s="155" t="s">
        <v>108</v>
      </c>
    </row>
    <row r="67" spans="27:30" ht="16.5" x14ac:dyDescent="0.3">
      <c r="AA67" s="149" t="s">
        <v>162</v>
      </c>
      <c r="AB67" s="129" t="s">
        <v>68</v>
      </c>
      <c r="AC67" s="129" t="s">
        <v>69</v>
      </c>
      <c r="AD67" s="155" t="s">
        <v>70</v>
      </c>
    </row>
    <row r="68" spans="27:30" ht="16.5" x14ac:dyDescent="0.3">
      <c r="AA68" s="149"/>
      <c r="AB68" s="129" t="s">
        <v>83</v>
      </c>
      <c r="AC68" s="129" t="s">
        <v>84</v>
      </c>
      <c r="AD68" s="155" t="s">
        <v>85</v>
      </c>
    </row>
    <row r="69" spans="27:30" ht="16.5" x14ac:dyDescent="0.3">
      <c r="AA69" s="149"/>
      <c r="AB69" s="129" t="s">
        <v>91</v>
      </c>
      <c r="AC69" s="129" t="s">
        <v>92</v>
      </c>
      <c r="AD69" s="155" t="s">
        <v>93</v>
      </c>
    </row>
    <row r="70" spans="27:30" ht="16.5" x14ac:dyDescent="0.3">
      <c r="AA70" s="149"/>
      <c r="AB70" s="129" t="s">
        <v>97</v>
      </c>
      <c r="AC70" s="129" t="s">
        <v>98</v>
      </c>
      <c r="AD70" s="155" t="s">
        <v>99</v>
      </c>
    </row>
    <row r="71" spans="27:30" ht="16.5" x14ac:dyDescent="0.3">
      <c r="AA71" s="149"/>
      <c r="AB71" s="129" t="s">
        <v>107</v>
      </c>
      <c r="AC71" s="129"/>
      <c r="AD71" s="155" t="s">
        <v>108</v>
      </c>
    </row>
    <row r="72" spans="27:30" ht="16.5" x14ac:dyDescent="0.3">
      <c r="AA72" s="149" t="s">
        <v>160</v>
      </c>
      <c r="AB72" s="129" t="s">
        <v>68</v>
      </c>
      <c r="AC72" s="129" t="s">
        <v>69</v>
      </c>
      <c r="AD72" s="155" t="s">
        <v>70</v>
      </c>
    </row>
    <row r="73" spans="27:30" ht="16.5" x14ac:dyDescent="0.3">
      <c r="AA73" s="149"/>
      <c r="AB73" s="129" t="s">
        <v>83</v>
      </c>
      <c r="AC73" s="129" t="s">
        <v>84</v>
      </c>
      <c r="AD73" s="155" t="s">
        <v>85</v>
      </c>
    </row>
    <row r="74" spans="27:30" ht="16.5" x14ac:dyDescent="0.3">
      <c r="AA74" s="149"/>
      <c r="AB74" s="129" t="s">
        <v>91</v>
      </c>
      <c r="AC74" s="129" t="s">
        <v>92</v>
      </c>
      <c r="AD74" s="155" t="s">
        <v>93</v>
      </c>
    </row>
    <row r="75" spans="27:30" ht="16.5" x14ac:dyDescent="0.3">
      <c r="AA75" s="149"/>
      <c r="AB75" s="129" t="s">
        <v>97</v>
      </c>
      <c r="AC75" s="129" t="s">
        <v>98</v>
      </c>
      <c r="AD75" s="155" t="s">
        <v>99</v>
      </c>
    </row>
    <row r="76" spans="27:30" ht="16.5" x14ac:dyDescent="0.3">
      <c r="AA76" s="149"/>
      <c r="AB76" s="129" t="s">
        <v>107</v>
      </c>
      <c r="AC76" s="129"/>
      <c r="AD76" s="155" t="s">
        <v>108</v>
      </c>
    </row>
    <row r="77" spans="27:30" ht="16.5" x14ac:dyDescent="0.3">
      <c r="AA77" s="149" t="s">
        <v>1081</v>
      </c>
      <c r="AB77" s="129" t="s">
        <v>68</v>
      </c>
      <c r="AC77" s="129" t="s">
        <v>172</v>
      </c>
      <c r="AD77" s="155" t="s">
        <v>70</v>
      </c>
    </row>
    <row r="78" spans="27:30" ht="16.5" x14ac:dyDescent="0.3">
      <c r="AA78" s="149"/>
      <c r="AB78" s="129" t="s">
        <v>175</v>
      </c>
      <c r="AC78" s="129" t="s">
        <v>176</v>
      </c>
      <c r="AD78" s="155" t="s">
        <v>85</v>
      </c>
    </row>
    <row r="79" spans="27:30" ht="16.5" x14ac:dyDescent="0.3">
      <c r="AA79" s="149"/>
      <c r="AB79" s="129" t="s">
        <v>179</v>
      </c>
      <c r="AC79" s="129" t="s">
        <v>180</v>
      </c>
      <c r="AD79" s="155" t="s">
        <v>93</v>
      </c>
    </row>
    <row r="80" spans="27:30" ht="16.5" x14ac:dyDescent="0.3">
      <c r="AA80" s="149"/>
      <c r="AB80" s="129" t="s">
        <v>183</v>
      </c>
      <c r="AC80" s="129" t="s">
        <v>184</v>
      </c>
      <c r="AD80" s="155" t="s">
        <v>99</v>
      </c>
    </row>
    <row r="81" spans="27:30" ht="16.5" x14ac:dyDescent="0.3">
      <c r="AA81" s="150"/>
      <c r="AB81" s="130" t="s">
        <v>187</v>
      </c>
      <c r="AC81" s="130"/>
      <c r="AD81" s="156" t="s">
        <v>108</v>
      </c>
    </row>
    <row r="82" spans="27:30" ht="16.5" x14ac:dyDescent="0.3">
      <c r="AA82" s="21" t="s">
        <v>1082</v>
      </c>
      <c r="AB82" s="21" t="s">
        <v>68</v>
      </c>
      <c r="AC82" s="21" t="s">
        <v>172</v>
      </c>
      <c r="AD82" s="23" t="s">
        <v>70</v>
      </c>
    </row>
    <row r="83" spans="27:30" ht="16.5" x14ac:dyDescent="0.3">
      <c r="AB83" s="21" t="s">
        <v>175</v>
      </c>
      <c r="AC83" s="21" t="s">
        <v>176</v>
      </c>
      <c r="AD83" s="23" t="s">
        <v>85</v>
      </c>
    </row>
    <row r="84" spans="27:30" ht="16.5" x14ac:dyDescent="0.3">
      <c r="AB84" s="21" t="s">
        <v>179</v>
      </c>
      <c r="AC84" s="21" t="s">
        <v>180</v>
      </c>
      <c r="AD84" s="23" t="s">
        <v>93</v>
      </c>
    </row>
    <row r="85" spans="27:30" ht="16.5" x14ac:dyDescent="0.3">
      <c r="AB85" s="21" t="s">
        <v>183</v>
      </c>
      <c r="AC85" s="21" t="s">
        <v>184</v>
      </c>
      <c r="AD85" s="23" t="s">
        <v>99</v>
      </c>
    </row>
    <row r="86" spans="27:30" ht="16.5" x14ac:dyDescent="0.3">
      <c r="AB86" s="21" t="s">
        <v>187</v>
      </c>
      <c r="AD86" s="23" t="s">
        <v>108</v>
      </c>
    </row>
    <row r="87" spans="27:30" x14ac:dyDescent="0.25">
      <c r="AA87" s="21" t="s">
        <v>1083</v>
      </c>
      <c r="AB87" s="21" t="s">
        <v>68</v>
      </c>
      <c r="AC87" s="21" t="s">
        <v>172</v>
      </c>
      <c r="AD87" s="21" t="s">
        <v>70</v>
      </c>
    </row>
    <row r="88" spans="27:30" x14ac:dyDescent="0.25">
      <c r="AB88" s="21" t="s">
        <v>175</v>
      </c>
      <c r="AC88" s="21" t="s">
        <v>176</v>
      </c>
      <c r="AD88" s="21" t="s">
        <v>85</v>
      </c>
    </row>
    <row r="89" spans="27:30" x14ac:dyDescent="0.25">
      <c r="AB89" s="21" t="s">
        <v>179</v>
      </c>
      <c r="AC89" s="21" t="s">
        <v>180</v>
      </c>
      <c r="AD89" s="21" t="s">
        <v>93</v>
      </c>
    </row>
    <row r="90" spans="27:30" x14ac:dyDescent="0.25">
      <c r="AB90" s="21" t="s">
        <v>183</v>
      </c>
      <c r="AC90" s="21" t="s">
        <v>184</v>
      </c>
      <c r="AD90" s="21" t="s">
        <v>99</v>
      </c>
    </row>
    <row r="91" spans="27:30" x14ac:dyDescent="0.25">
      <c r="AB91" s="21" t="s">
        <v>187</v>
      </c>
      <c r="AD91" s="21" t="s">
        <v>108</v>
      </c>
    </row>
    <row r="92" spans="27:30" x14ac:dyDescent="0.25">
      <c r="AA92" s="21" t="s">
        <v>1149</v>
      </c>
      <c r="AB92" s="21" t="s">
        <v>68</v>
      </c>
      <c r="AC92" s="21" t="s">
        <v>172</v>
      </c>
      <c r="AD92" s="21" t="s">
        <v>70</v>
      </c>
    </row>
    <row r="93" spans="27:30" x14ac:dyDescent="0.25">
      <c r="AB93" s="21" t="s">
        <v>175</v>
      </c>
      <c r="AC93" s="21" t="s">
        <v>176</v>
      </c>
      <c r="AD93" s="21" t="s">
        <v>85</v>
      </c>
    </row>
    <row r="94" spans="27:30" x14ac:dyDescent="0.25">
      <c r="AB94" s="21" t="s">
        <v>179</v>
      </c>
      <c r="AC94" s="21" t="s">
        <v>180</v>
      </c>
      <c r="AD94" s="21" t="s">
        <v>93</v>
      </c>
    </row>
    <row r="95" spans="27:30" x14ac:dyDescent="0.25">
      <c r="AB95" s="21" t="s">
        <v>183</v>
      </c>
      <c r="AC95" s="21" t="s">
        <v>184</v>
      </c>
      <c r="AD95" s="21" t="s">
        <v>99</v>
      </c>
    </row>
    <row r="96" spans="27:30" x14ac:dyDescent="0.25">
      <c r="AB96" s="21" t="s">
        <v>187</v>
      </c>
      <c r="AD96" s="21" t="s">
        <v>108</v>
      </c>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430"/>
  <sheetViews>
    <sheetView topLeftCell="A824" zoomScaleNormal="100" workbookViewId="0">
      <selection activeCell="C837" sqref="C837"/>
    </sheetView>
  </sheetViews>
  <sheetFormatPr defaultRowHeight="15" x14ac:dyDescent="0.25"/>
  <cols>
    <col min="1" max="1" width="30" customWidth="1"/>
    <col min="2" max="2" width="19.28515625" customWidth="1"/>
    <col min="3" max="3" width="18.42578125" customWidth="1"/>
    <col min="4" max="4" width="20.42578125" customWidth="1"/>
    <col min="5" max="5" width="19.7109375" customWidth="1"/>
    <col min="7" max="7" width="25" customWidth="1"/>
  </cols>
  <sheetData>
    <row r="1" spans="1:4" x14ac:dyDescent="0.25">
      <c r="A1" s="26" t="s">
        <v>194</v>
      </c>
    </row>
    <row r="2" spans="1:4" x14ac:dyDescent="0.25">
      <c r="A2" t="s">
        <v>195</v>
      </c>
      <c r="B2" t="s">
        <v>196</v>
      </c>
      <c r="C2" t="s">
        <v>197</v>
      </c>
      <c r="D2" t="s">
        <v>198</v>
      </c>
    </row>
    <row r="3" spans="1:4" x14ac:dyDescent="0.25">
      <c r="A3" t="s">
        <v>199</v>
      </c>
      <c r="B3">
        <v>76</v>
      </c>
      <c r="C3" t="s">
        <v>200</v>
      </c>
      <c r="D3" t="s">
        <v>125</v>
      </c>
    </row>
    <row r="4" spans="1:4" x14ac:dyDescent="0.25">
      <c r="A4" t="s">
        <v>201</v>
      </c>
      <c r="B4">
        <v>80</v>
      </c>
      <c r="C4" t="s">
        <v>202</v>
      </c>
      <c r="D4" t="s">
        <v>203</v>
      </c>
    </row>
    <row r="5" spans="1:4" x14ac:dyDescent="0.25">
      <c r="A5" t="s">
        <v>204</v>
      </c>
      <c r="B5">
        <v>84</v>
      </c>
      <c r="C5" t="s">
        <v>205</v>
      </c>
      <c r="D5" t="s">
        <v>206</v>
      </c>
    </row>
    <row r="6" spans="1:4" x14ac:dyDescent="0.25">
      <c r="A6" t="s">
        <v>207</v>
      </c>
      <c r="B6">
        <v>88</v>
      </c>
      <c r="C6" t="s">
        <v>208</v>
      </c>
      <c r="D6" t="s">
        <v>209</v>
      </c>
    </row>
    <row r="7" spans="1:4" x14ac:dyDescent="0.25">
      <c r="A7" t="s">
        <v>210</v>
      </c>
      <c r="B7">
        <v>92</v>
      </c>
      <c r="C7" t="s">
        <v>211</v>
      </c>
      <c r="D7" t="s">
        <v>212</v>
      </c>
    </row>
    <row r="8" spans="1:4" x14ac:dyDescent="0.25">
      <c r="A8" t="s">
        <v>213</v>
      </c>
      <c r="B8">
        <v>96</v>
      </c>
      <c r="C8" t="s">
        <v>214</v>
      </c>
      <c r="D8" t="s">
        <v>215</v>
      </c>
    </row>
    <row r="9" spans="1:4" x14ac:dyDescent="0.25">
      <c r="A9" t="s">
        <v>216</v>
      </c>
      <c r="B9">
        <v>100</v>
      </c>
      <c r="C9" t="s">
        <v>217</v>
      </c>
      <c r="D9" t="s">
        <v>135</v>
      </c>
    </row>
    <row r="10" spans="1:4" x14ac:dyDescent="0.25">
      <c r="A10" t="s">
        <v>218</v>
      </c>
      <c r="B10">
        <v>104</v>
      </c>
      <c r="C10" t="s">
        <v>219</v>
      </c>
      <c r="D10" t="s">
        <v>220</v>
      </c>
    </row>
    <row r="11" spans="1:4" x14ac:dyDescent="0.25">
      <c r="A11" t="s">
        <v>221</v>
      </c>
      <c r="B11">
        <v>108</v>
      </c>
      <c r="C11" t="s">
        <v>222</v>
      </c>
      <c r="D11" t="s">
        <v>223</v>
      </c>
    </row>
    <row r="12" spans="1:4" x14ac:dyDescent="0.25">
      <c r="A12" t="s">
        <v>224</v>
      </c>
      <c r="B12">
        <v>112</v>
      </c>
      <c r="C12" t="s">
        <v>225</v>
      </c>
      <c r="D12" t="s">
        <v>226</v>
      </c>
    </row>
    <row r="13" spans="1:4" x14ac:dyDescent="0.25">
      <c r="A13" t="s">
        <v>227</v>
      </c>
      <c r="B13">
        <v>116</v>
      </c>
      <c r="C13" t="s">
        <v>228</v>
      </c>
      <c r="D13" t="s">
        <v>229</v>
      </c>
    </row>
    <row r="14" spans="1:4" x14ac:dyDescent="0.25">
      <c r="A14" t="s">
        <v>230</v>
      </c>
      <c r="B14">
        <v>120</v>
      </c>
      <c r="C14" t="s">
        <v>231</v>
      </c>
      <c r="D14" t="s">
        <v>351</v>
      </c>
    </row>
    <row r="15" spans="1:4" x14ac:dyDescent="0.25">
      <c r="A15" t="s">
        <v>233</v>
      </c>
      <c r="B15">
        <v>124</v>
      </c>
      <c r="C15" t="s">
        <v>234</v>
      </c>
      <c r="D15" t="s">
        <v>352</v>
      </c>
    </row>
    <row r="16" spans="1:4" x14ac:dyDescent="0.25">
      <c r="A16" t="s">
        <v>236</v>
      </c>
      <c r="B16">
        <v>128</v>
      </c>
      <c r="C16" t="s">
        <v>237</v>
      </c>
      <c r="D16" t="s">
        <v>238</v>
      </c>
    </row>
    <row r="17" spans="1:4" x14ac:dyDescent="0.25">
      <c r="A17" t="s">
        <v>239</v>
      </c>
      <c r="B17">
        <v>132</v>
      </c>
      <c r="C17" t="s">
        <v>240</v>
      </c>
      <c r="D17" t="s">
        <v>241</v>
      </c>
    </row>
    <row r="18" spans="1:4" x14ac:dyDescent="0.25">
      <c r="A18" t="s">
        <v>242</v>
      </c>
      <c r="B18">
        <v>136</v>
      </c>
      <c r="C18" t="s">
        <v>243</v>
      </c>
      <c r="D18" t="s">
        <v>133</v>
      </c>
    </row>
    <row r="19" spans="1:4" x14ac:dyDescent="0.25">
      <c r="A19" t="s">
        <v>244</v>
      </c>
      <c r="B19">
        <v>140</v>
      </c>
      <c r="C19" t="s">
        <v>245</v>
      </c>
      <c r="D19" t="s">
        <v>246</v>
      </c>
    </row>
    <row r="20" spans="1:4" x14ac:dyDescent="0.25">
      <c r="A20" t="s">
        <v>247</v>
      </c>
      <c r="B20">
        <v>144</v>
      </c>
      <c r="C20" t="s">
        <v>248</v>
      </c>
      <c r="D20" t="s">
        <v>241</v>
      </c>
    </row>
    <row r="21" spans="1:4" x14ac:dyDescent="0.25">
      <c r="A21" t="s">
        <v>249</v>
      </c>
      <c r="B21">
        <v>148</v>
      </c>
      <c r="C21" t="s">
        <v>250</v>
      </c>
      <c r="D21" t="s">
        <v>133</v>
      </c>
    </row>
    <row r="22" spans="1:4" x14ac:dyDescent="0.25">
      <c r="A22" t="s">
        <v>251</v>
      </c>
      <c r="B22">
        <v>152</v>
      </c>
      <c r="C22" t="s">
        <v>252</v>
      </c>
      <c r="D22" t="s">
        <v>246</v>
      </c>
    </row>
    <row r="23" spans="1:4" x14ac:dyDescent="0.25">
      <c r="A23" t="s">
        <v>253</v>
      </c>
      <c r="B23">
        <v>156</v>
      </c>
      <c r="C23" t="s">
        <v>254</v>
      </c>
      <c r="D23" t="s">
        <v>133</v>
      </c>
    </row>
    <row r="24" spans="1:4" x14ac:dyDescent="0.25">
      <c r="A24" t="s">
        <v>255</v>
      </c>
      <c r="B24">
        <v>160</v>
      </c>
      <c r="C24" t="s">
        <v>256</v>
      </c>
      <c r="D24" t="s">
        <v>246</v>
      </c>
    </row>
    <row r="25" spans="1:4" x14ac:dyDescent="0.25">
      <c r="A25" t="s">
        <v>257</v>
      </c>
      <c r="B25">
        <v>164</v>
      </c>
      <c r="C25" t="s">
        <v>258</v>
      </c>
      <c r="D25" t="s">
        <v>241</v>
      </c>
    </row>
    <row r="26" spans="1:4" x14ac:dyDescent="0.25">
      <c r="A26" t="s">
        <v>259</v>
      </c>
      <c r="B26">
        <v>168</v>
      </c>
      <c r="C26" t="s">
        <v>260</v>
      </c>
      <c r="D26" t="s">
        <v>133</v>
      </c>
    </row>
    <row r="27" spans="1:4" x14ac:dyDescent="0.25">
      <c r="A27" t="s">
        <v>261</v>
      </c>
      <c r="B27">
        <v>172</v>
      </c>
      <c r="C27" t="s">
        <v>262</v>
      </c>
      <c r="D27" t="s">
        <v>246</v>
      </c>
    </row>
    <row r="28" spans="1:4" x14ac:dyDescent="0.25">
      <c r="A28" t="s">
        <v>263</v>
      </c>
      <c r="B28">
        <v>176</v>
      </c>
      <c r="C28" t="s">
        <v>264</v>
      </c>
      <c r="D28" t="s">
        <v>241</v>
      </c>
    </row>
    <row r="29" spans="1:4" x14ac:dyDescent="0.25">
      <c r="A29" t="s">
        <v>265</v>
      </c>
      <c r="B29">
        <v>180</v>
      </c>
      <c r="C29" t="s">
        <v>266</v>
      </c>
      <c r="D29" t="s">
        <v>241</v>
      </c>
    </row>
    <row r="30" spans="1:4" x14ac:dyDescent="0.25">
      <c r="A30" t="s">
        <v>267</v>
      </c>
      <c r="B30">
        <v>184</v>
      </c>
      <c r="C30" t="s">
        <v>268</v>
      </c>
      <c r="D30" t="s">
        <v>133</v>
      </c>
    </row>
    <row r="31" spans="1:4" x14ac:dyDescent="0.25">
      <c r="A31" t="s">
        <v>269</v>
      </c>
      <c r="B31">
        <v>188</v>
      </c>
      <c r="C31" t="s">
        <v>270</v>
      </c>
      <c r="D31" t="s">
        <v>246</v>
      </c>
    </row>
    <row r="32" spans="1:4" x14ac:dyDescent="0.25">
      <c r="A32" t="s">
        <v>271</v>
      </c>
      <c r="B32">
        <v>192</v>
      </c>
      <c r="C32" t="s">
        <v>962</v>
      </c>
      <c r="D32" t="s">
        <v>273</v>
      </c>
    </row>
    <row r="33" spans="1:4" x14ac:dyDescent="0.25">
      <c r="A33" t="s">
        <v>274</v>
      </c>
      <c r="B33">
        <v>196</v>
      </c>
      <c r="C33" t="s">
        <v>275</v>
      </c>
      <c r="D33" t="s">
        <v>276</v>
      </c>
    </row>
    <row r="34" spans="1:4" x14ac:dyDescent="0.25">
      <c r="A34" t="s">
        <v>277</v>
      </c>
      <c r="B34">
        <v>200</v>
      </c>
      <c r="C34" t="s">
        <v>278</v>
      </c>
      <c r="D34" t="s">
        <v>279</v>
      </c>
    </row>
    <row r="35" spans="1:4" x14ac:dyDescent="0.25">
      <c r="A35" t="s">
        <v>280</v>
      </c>
      <c r="B35">
        <v>204</v>
      </c>
      <c r="C35" t="s">
        <v>281</v>
      </c>
      <c r="D35" t="s">
        <v>232</v>
      </c>
    </row>
    <row r="36" spans="1:4" x14ac:dyDescent="0.25">
      <c r="A36" t="s">
        <v>355</v>
      </c>
      <c r="B36">
        <v>208</v>
      </c>
      <c r="C36" t="s">
        <v>969</v>
      </c>
      <c r="D36" t="s">
        <v>337</v>
      </c>
    </row>
    <row r="37" spans="1:4" x14ac:dyDescent="0.25">
      <c r="A37" t="s">
        <v>357</v>
      </c>
      <c r="B37">
        <v>212</v>
      </c>
      <c r="C37" t="s">
        <v>358</v>
      </c>
      <c r="D37" t="s">
        <v>273</v>
      </c>
    </row>
    <row r="38" spans="1:4" x14ac:dyDescent="0.25">
      <c r="A38" s="27" t="s">
        <v>359</v>
      </c>
      <c r="B38">
        <v>216</v>
      </c>
      <c r="C38" t="s">
        <v>360</v>
      </c>
      <c r="D38" t="s">
        <v>276</v>
      </c>
    </row>
    <row r="39" spans="1:4" x14ac:dyDescent="0.25">
      <c r="A39" t="s">
        <v>456</v>
      </c>
      <c r="B39">
        <v>220</v>
      </c>
      <c r="C39" t="s">
        <v>1026</v>
      </c>
      <c r="D39" t="s">
        <v>279</v>
      </c>
    </row>
    <row r="40" spans="1:4" x14ac:dyDescent="0.25">
      <c r="A40" t="s">
        <v>970</v>
      </c>
      <c r="B40">
        <v>224</v>
      </c>
      <c r="C40" t="s">
        <v>1027</v>
      </c>
      <c r="D40" t="s">
        <v>232</v>
      </c>
    </row>
    <row r="41" spans="1:4" x14ac:dyDescent="0.25">
      <c r="A41" t="s">
        <v>1028</v>
      </c>
      <c r="B41">
        <v>228</v>
      </c>
      <c r="C41" t="s">
        <v>1029</v>
      </c>
      <c r="D41" t="s">
        <v>273</v>
      </c>
    </row>
    <row r="42" spans="1:4" x14ac:dyDescent="0.25">
      <c r="A42" t="s">
        <v>1030</v>
      </c>
      <c r="B42">
        <v>232</v>
      </c>
      <c r="C42" t="s">
        <v>1031</v>
      </c>
      <c r="D42" t="s">
        <v>276</v>
      </c>
    </row>
    <row r="43" spans="1:4" x14ac:dyDescent="0.25">
      <c r="A43" t="s">
        <v>1032</v>
      </c>
      <c r="B43">
        <v>236</v>
      </c>
      <c r="C43" t="s">
        <v>1033</v>
      </c>
      <c r="D43" t="s">
        <v>279</v>
      </c>
    </row>
    <row r="44" spans="1:4" x14ac:dyDescent="0.25">
      <c r="A44" t="s">
        <v>1034</v>
      </c>
      <c r="B44">
        <v>240</v>
      </c>
      <c r="C44" t="s">
        <v>1035</v>
      </c>
      <c r="D44" t="s">
        <v>232</v>
      </c>
    </row>
    <row r="45" spans="1:4" x14ac:dyDescent="0.25">
      <c r="A45" t="s">
        <v>1041</v>
      </c>
      <c r="B45">
        <v>244</v>
      </c>
      <c r="C45" t="s">
        <v>1042</v>
      </c>
      <c r="D45" t="s">
        <v>352</v>
      </c>
    </row>
    <row r="46" spans="1:4" x14ac:dyDescent="0.25">
      <c r="A46" t="s">
        <v>1043</v>
      </c>
      <c r="B46">
        <v>248</v>
      </c>
      <c r="C46" t="s">
        <v>1044</v>
      </c>
      <c r="D46" t="s">
        <v>352</v>
      </c>
    </row>
    <row r="47" spans="1:4" x14ac:dyDescent="0.25">
      <c r="A47" t="s">
        <v>1045</v>
      </c>
      <c r="B47">
        <v>252</v>
      </c>
      <c r="C47" t="s">
        <v>1086</v>
      </c>
      <c r="D47" t="s">
        <v>335</v>
      </c>
    </row>
    <row r="48" spans="1:4" x14ac:dyDescent="0.25">
      <c r="A48" t="s">
        <v>1058</v>
      </c>
      <c r="B48">
        <v>256</v>
      </c>
      <c r="C48" t="s">
        <v>1098</v>
      </c>
      <c r="D48" t="s">
        <v>349</v>
      </c>
    </row>
    <row r="49" spans="1:4" x14ac:dyDescent="0.25">
      <c r="A49" t="s">
        <v>1064</v>
      </c>
      <c r="B49">
        <v>260</v>
      </c>
      <c r="C49" t="s">
        <v>1087</v>
      </c>
      <c r="D49" t="s">
        <v>238</v>
      </c>
    </row>
    <row r="75" spans="1:2" x14ac:dyDescent="0.25">
      <c r="A75" t="s">
        <v>282</v>
      </c>
      <c r="B75" t="s">
        <v>282</v>
      </c>
    </row>
    <row r="76" spans="1:2" x14ac:dyDescent="0.25">
      <c r="A76" t="s">
        <v>283</v>
      </c>
      <c r="B76" t="s">
        <v>284</v>
      </c>
    </row>
    <row r="77" spans="1:2" x14ac:dyDescent="0.25">
      <c r="A77" t="s">
        <v>285</v>
      </c>
    </row>
    <row r="78" spans="1:2" x14ac:dyDescent="0.25">
      <c r="A78" s="27"/>
    </row>
    <row r="79" spans="1:2" x14ac:dyDescent="0.25">
      <c r="A79" t="s">
        <v>286</v>
      </c>
      <c r="B79" t="s">
        <v>286</v>
      </c>
    </row>
    <row r="80" spans="1:2" x14ac:dyDescent="0.25">
      <c r="A80" t="s">
        <v>287</v>
      </c>
      <c r="B80" t="s">
        <v>288</v>
      </c>
    </row>
    <row r="81" spans="1:1" x14ac:dyDescent="0.25">
      <c r="A81" t="s">
        <v>289</v>
      </c>
    </row>
    <row r="83" spans="1:1" x14ac:dyDescent="0.25">
      <c r="A83" t="s">
        <v>290</v>
      </c>
    </row>
    <row r="84" spans="1:1" x14ac:dyDescent="0.25">
      <c r="A84" t="s">
        <v>291</v>
      </c>
    </row>
    <row r="85" spans="1:1" x14ac:dyDescent="0.25">
      <c r="A85" t="s">
        <v>292</v>
      </c>
    </row>
    <row r="87" spans="1:1" x14ac:dyDescent="0.25">
      <c r="A87" t="s">
        <v>203</v>
      </c>
    </row>
    <row r="88" spans="1:1" x14ac:dyDescent="0.25">
      <c r="A88" t="s">
        <v>291</v>
      </c>
    </row>
    <row r="89" spans="1:1" x14ac:dyDescent="0.25">
      <c r="A89" t="s">
        <v>293</v>
      </c>
    </row>
    <row r="91" spans="1:1" x14ac:dyDescent="0.25">
      <c r="A91" t="s">
        <v>294</v>
      </c>
    </row>
    <row r="92" spans="1:1" x14ac:dyDescent="0.25">
      <c r="A92" t="s">
        <v>291</v>
      </c>
    </row>
    <row r="93" spans="1:1" x14ac:dyDescent="0.25">
      <c r="A93" t="s">
        <v>295</v>
      </c>
    </row>
    <row r="95" spans="1:1" x14ac:dyDescent="0.25">
      <c r="A95" t="s">
        <v>296</v>
      </c>
    </row>
    <row r="96" spans="1:1" x14ac:dyDescent="0.25">
      <c r="A96" t="s">
        <v>291</v>
      </c>
    </row>
    <row r="97" spans="1:1" x14ac:dyDescent="0.25">
      <c r="A97" t="s">
        <v>297</v>
      </c>
    </row>
    <row r="99" spans="1:1" x14ac:dyDescent="0.25">
      <c r="A99" t="s">
        <v>298</v>
      </c>
    </row>
    <row r="100" spans="1:1" x14ac:dyDescent="0.25">
      <c r="A100" t="s">
        <v>291</v>
      </c>
    </row>
    <row r="101" spans="1:1" x14ac:dyDescent="0.25">
      <c r="A101" t="s">
        <v>299</v>
      </c>
    </row>
    <row r="103" spans="1:1" x14ac:dyDescent="0.25">
      <c r="A103" t="s">
        <v>300</v>
      </c>
    </row>
    <row r="104" spans="1:1" x14ac:dyDescent="0.25">
      <c r="A104" t="s">
        <v>291</v>
      </c>
    </row>
    <row r="105" spans="1:1" x14ac:dyDescent="0.25">
      <c r="A105" t="s">
        <v>301</v>
      </c>
    </row>
    <row r="107" spans="1:1" x14ac:dyDescent="0.25">
      <c r="A107" t="s">
        <v>302</v>
      </c>
    </row>
    <row r="108" spans="1:1" x14ac:dyDescent="0.25">
      <c r="A108" t="s">
        <v>291</v>
      </c>
    </row>
    <row r="109" spans="1:1" x14ac:dyDescent="0.25">
      <c r="A109" t="s">
        <v>303</v>
      </c>
    </row>
    <row r="111" spans="1:1" x14ac:dyDescent="0.25">
      <c r="A111" t="s">
        <v>304</v>
      </c>
    </row>
    <row r="112" spans="1:1" x14ac:dyDescent="0.25">
      <c r="A112" t="s">
        <v>291</v>
      </c>
    </row>
    <row r="113" spans="1:1" x14ac:dyDescent="0.25">
      <c r="A113" t="s">
        <v>305</v>
      </c>
    </row>
    <row r="115" spans="1:1" x14ac:dyDescent="0.25">
      <c r="A115" t="s">
        <v>209</v>
      </c>
    </row>
    <row r="116" spans="1:1" x14ac:dyDescent="0.25">
      <c r="A116" t="s">
        <v>291</v>
      </c>
    </row>
    <row r="117" spans="1:1" x14ac:dyDescent="0.25">
      <c r="A117" t="s">
        <v>306</v>
      </c>
    </row>
    <row r="119" spans="1:1" x14ac:dyDescent="0.25">
      <c r="A119" t="s">
        <v>241</v>
      </c>
    </row>
    <row r="120" spans="1:1" x14ac:dyDescent="0.25">
      <c r="A120" t="s">
        <v>291</v>
      </c>
    </row>
    <row r="121" spans="1:1" x14ac:dyDescent="0.25">
      <c r="A121" t="s">
        <v>307</v>
      </c>
    </row>
    <row r="123" spans="1:1" x14ac:dyDescent="0.25">
      <c r="A123" t="s">
        <v>212</v>
      </c>
    </row>
    <row r="124" spans="1:1" x14ac:dyDescent="0.25">
      <c r="A124" t="s">
        <v>291</v>
      </c>
    </row>
    <row r="125" spans="1:1" x14ac:dyDescent="0.25">
      <c r="A125" t="s">
        <v>308</v>
      </c>
    </row>
    <row r="127" spans="1:1" x14ac:dyDescent="0.25">
      <c r="A127" t="s">
        <v>309</v>
      </c>
    </row>
    <row r="128" spans="1:1" x14ac:dyDescent="0.25">
      <c r="A128" t="s">
        <v>310</v>
      </c>
    </row>
    <row r="129" spans="1:2" x14ac:dyDescent="0.25">
      <c r="A129" s="127" t="s">
        <v>311</v>
      </c>
    </row>
    <row r="131" spans="1:2" x14ac:dyDescent="0.25">
      <c r="A131" t="s">
        <v>312</v>
      </c>
      <c r="B131" t="s">
        <v>313</v>
      </c>
    </row>
    <row r="132" spans="1:2" x14ac:dyDescent="0.25">
      <c r="A132" t="s">
        <v>310</v>
      </c>
      <c r="B132" t="str">
        <f>"=Benefit not given"</f>
        <v>=Benefit not given</v>
      </c>
    </row>
    <row r="133" spans="1:2" x14ac:dyDescent="0.25">
      <c r="A133" t="s">
        <v>314</v>
      </c>
    </row>
    <row r="135" spans="1:2" x14ac:dyDescent="0.25">
      <c r="A135" t="s">
        <v>313</v>
      </c>
      <c r="B135" t="s">
        <v>315</v>
      </c>
    </row>
    <row r="136" spans="1:2" x14ac:dyDescent="0.25">
      <c r="A136" t="str">
        <f>"=Benefit not given"</f>
        <v>=Benefit not given</v>
      </c>
      <c r="B136" t="s">
        <v>291</v>
      </c>
    </row>
    <row r="137" spans="1:2" x14ac:dyDescent="0.25">
      <c r="A137" t="s">
        <v>316</v>
      </c>
    </row>
    <row r="139" spans="1:2" x14ac:dyDescent="0.25">
      <c r="A139" t="s">
        <v>313</v>
      </c>
      <c r="B139" t="s">
        <v>317</v>
      </c>
    </row>
    <row r="140" spans="1:2" x14ac:dyDescent="0.25">
      <c r="A140" t="str">
        <f>"=Benefit not given"</f>
        <v>=Benefit not given</v>
      </c>
      <c r="B140" t="s">
        <v>291</v>
      </c>
    </row>
    <row r="141" spans="1:2" x14ac:dyDescent="0.25">
      <c r="A141" t="s">
        <v>318</v>
      </c>
    </row>
    <row r="143" spans="1:2" x14ac:dyDescent="0.25">
      <c r="A143" t="s">
        <v>312</v>
      </c>
      <c r="B143" t="s">
        <v>313</v>
      </c>
    </row>
    <row r="144" spans="1:2" x14ac:dyDescent="0.25">
      <c r="A144" t="s">
        <v>310</v>
      </c>
      <c r="B144" t="str">
        <f>"=House to Non full time service Director"</f>
        <v>=House to Non full time service Director</v>
      </c>
    </row>
    <row r="145" spans="1:2" x14ac:dyDescent="0.25">
      <c r="A145" t="s">
        <v>319</v>
      </c>
    </row>
    <row r="147" spans="1:2" x14ac:dyDescent="0.25">
      <c r="A147" t="s">
        <v>313</v>
      </c>
      <c r="B147" t="s">
        <v>315</v>
      </c>
    </row>
    <row r="148" spans="1:2" x14ac:dyDescent="0.25">
      <c r="A148" t="str">
        <f>"=House to Non full time service Director"</f>
        <v>=House to Non full time service Director</v>
      </c>
      <c r="B148" t="s">
        <v>291</v>
      </c>
    </row>
    <row r="149" spans="1:2" x14ac:dyDescent="0.25">
      <c r="A149" t="s">
        <v>320</v>
      </c>
    </row>
    <row r="151" spans="1:2" x14ac:dyDescent="0.25">
      <c r="A151" t="s">
        <v>313</v>
      </c>
      <c r="B151" t="s">
        <v>317</v>
      </c>
    </row>
    <row r="152" spans="1:2" x14ac:dyDescent="0.25">
      <c r="A152" t="str">
        <f>"=House to Non full time service Director"</f>
        <v>=House to Non full time service Director</v>
      </c>
      <c r="B152" t="s">
        <v>291</v>
      </c>
    </row>
    <row r="153" spans="1:2" x14ac:dyDescent="0.25">
      <c r="A153" t="s">
        <v>321</v>
      </c>
    </row>
    <row r="155" spans="1:2" x14ac:dyDescent="0.25">
      <c r="A155" t="s">
        <v>313</v>
      </c>
      <c r="B155" t="s">
        <v>315</v>
      </c>
    </row>
    <row r="156" spans="1:2" x14ac:dyDescent="0.25">
      <c r="A156" t="s">
        <v>323</v>
      </c>
      <c r="B156" t="s">
        <v>310</v>
      </c>
    </row>
    <row r="157" spans="1:2" x14ac:dyDescent="0.25">
      <c r="A157" t="s">
        <v>322</v>
      </c>
    </row>
    <row r="159" spans="1:2" x14ac:dyDescent="0.25">
      <c r="A159" t="s">
        <v>313</v>
      </c>
      <c r="B159" t="s">
        <v>317</v>
      </c>
    </row>
    <row r="160" spans="1:2" x14ac:dyDescent="0.25">
      <c r="A160" t="s">
        <v>323</v>
      </c>
      <c r="B160" t="s">
        <v>310</v>
      </c>
    </row>
    <row r="161" spans="1:2" x14ac:dyDescent="0.25">
      <c r="A161" t="s">
        <v>324</v>
      </c>
    </row>
    <row r="163" spans="1:2" x14ac:dyDescent="0.25">
      <c r="A163" t="s">
        <v>312</v>
      </c>
      <c r="B163" t="s">
        <v>313</v>
      </c>
    </row>
    <row r="164" spans="1:2" x14ac:dyDescent="0.25">
      <c r="A164" t="s">
        <v>291</v>
      </c>
      <c r="B164" t="s">
        <v>323</v>
      </c>
    </row>
    <row r="165" spans="1:2" x14ac:dyDescent="0.25">
      <c r="A165" t="s">
        <v>325</v>
      </c>
    </row>
    <row r="167" spans="1:2" x14ac:dyDescent="0.25">
      <c r="A167" t="s">
        <v>313</v>
      </c>
      <c r="B167" t="s">
        <v>315</v>
      </c>
    </row>
    <row r="168" spans="1:2" x14ac:dyDescent="0.25">
      <c r="A168" t="s">
        <v>437</v>
      </c>
      <c r="B168" t="s">
        <v>310</v>
      </c>
    </row>
    <row r="169" spans="1:2" x14ac:dyDescent="0.25">
      <c r="A169" t="s">
        <v>326</v>
      </c>
    </row>
    <row r="171" spans="1:2" x14ac:dyDescent="0.25">
      <c r="A171" t="s">
        <v>313</v>
      </c>
      <c r="B171" t="s">
        <v>317</v>
      </c>
    </row>
    <row r="172" spans="1:2" x14ac:dyDescent="0.25">
      <c r="A172" t="s">
        <v>437</v>
      </c>
      <c r="B172" t="s">
        <v>310</v>
      </c>
    </row>
    <row r="173" spans="1:2" x14ac:dyDescent="0.25">
      <c r="A173" t="s">
        <v>327</v>
      </c>
    </row>
    <row r="175" spans="1:2" x14ac:dyDescent="0.25">
      <c r="A175" t="s">
        <v>312</v>
      </c>
      <c r="B175" t="s">
        <v>313</v>
      </c>
    </row>
    <row r="176" spans="1:2" x14ac:dyDescent="0.25">
      <c r="A176" s="127" t="s">
        <v>291</v>
      </c>
      <c r="B176" t="s">
        <v>437</v>
      </c>
    </row>
    <row r="177" spans="1:3" x14ac:dyDescent="0.25">
      <c r="A177" t="s">
        <v>328</v>
      </c>
    </row>
    <row r="179" spans="1:3" x14ac:dyDescent="0.25">
      <c r="A179" t="s">
        <v>312</v>
      </c>
      <c r="B179" t="s">
        <v>313</v>
      </c>
    </row>
    <row r="180" spans="1:3" x14ac:dyDescent="0.25">
      <c r="A180" t="s">
        <v>291</v>
      </c>
      <c r="B180" t="str">
        <f>"=Agriculture Farm"</f>
        <v>=Agriculture Farm</v>
      </c>
    </row>
    <row r="181" spans="1:3" x14ac:dyDescent="0.25">
      <c r="A181" t="s">
        <v>329</v>
      </c>
    </row>
    <row r="183" spans="1:3" x14ac:dyDescent="0.25">
      <c r="A183" t="s">
        <v>313</v>
      </c>
      <c r="B183" t="s">
        <v>315</v>
      </c>
    </row>
    <row r="184" spans="1:3" x14ac:dyDescent="0.25">
      <c r="A184" t="str">
        <f>"=Agriculture Farm"</f>
        <v>=Agriculture Farm</v>
      </c>
      <c r="B184" t="s">
        <v>291</v>
      </c>
    </row>
    <row r="185" spans="1:3" x14ac:dyDescent="0.25">
      <c r="A185" t="s">
        <v>330</v>
      </c>
    </row>
    <row r="186" spans="1:3" x14ac:dyDescent="0.25">
      <c r="A186" s="26"/>
    </row>
    <row r="187" spans="1:3" x14ac:dyDescent="0.25">
      <c r="A187" t="s">
        <v>313</v>
      </c>
      <c r="B187" t="s">
        <v>317</v>
      </c>
    </row>
    <row r="188" spans="1:3" x14ac:dyDescent="0.25">
      <c r="A188" t="str">
        <f>"=Agriculture Farm"</f>
        <v>=Agriculture Farm</v>
      </c>
      <c r="B188" t="s">
        <v>291</v>
      </c>
    </row>
    <row r="189" spans="1:3" x14ac:dyDescent="0.25">
      <c r="A189" t="s">
        <v>331</v>
      </c>
    </row>
    <row r="191" spans="1:3" x14ac:dyDescent="0.25">
      <c r="A191" t="s">
        <v>282</v>
      </c>
      <c r="B191" t="s">
        <v>286</v>
      </c>
      <c r="C191" t="s">
        <v>332</v>
      </c>
    </row>
    <row r="192" spans="1:3" x14ac:dyDescent="0.25">
      <c r="A192" t="str">
        <f>"=Resident"</f>
        <v>=Resident</v>
      </c>
      <c r="B192" t="str">
        <f>"Primary Employee"</f>
        <v>Primary Employee</v>
      </c>
      <c r="C192" t="s">
        <v>310</v>
      </c>
    </row>
    <row r="193" spans="1:5" x14ac:dyDescent="0.25">
      <c r="A193" t="s">
        <v>333</v>
      </c>
    </row>
    <row r="195" spans="1:5" x14ac:dyDescent="0.25">
      <c r="A195" t="s">
        <v>282</v>
      </c>
      <c r="B195" t="s">
        <v>286</v>
      </c>
      <c r="C195" t="s">
        <v>206</v>
      </c>
    </row>
    <row r="196" spans="1:5" x14ac:dyDescent="0.25">
      <c r="A196" t="str">
        <f>"=Resident"</f>
        <v>=Resident</v>
      </c>
      <c r="B196" t="str">
        <f>"=Primary Employee"</f>
        <v>=Primary Employee</v>
      </c>
      <c r="C196" t="s">
        <v>310</v>
      </c>
    </row>
    <row r="197" spans="1:5" x14ac:dyDescent="0.25">
      <c r="A197" t="s">
        <v>334</v>
      </c>
    </row>
    <row r="199" spans="1:5" x14ac:dyDescent="0.25">
      <c r="A199" t="s">
        <v>282</v>
      </c>
      <c r="B199" t="s">
        <v>286</v>
      </c>
      <c r="C199" t="s">
        <v>335</v>
      </c>
    </row>
    <row r="200" spans="1:5" x14ac:dyDescent="0.25">
      <c r="A200" t="str">
        <f>"=Resident"</f>
        <v>=Resident</v>
      </c>
      <c r="B200" t="str">
        <f>"=Primary Employee"</f>
        <v>=Primary Employee</v>
      </c>
      <c r="C200" t="s">
        <v>310</v>
      </c>
    </row>
    <row r="201" spans="1:5" x14ac:dyDescent="0.25">
      <c r="A201" t="s">
        <v>336</v>
      </c>
    </row>
    <row r="203" spans="1:5" x14ac:dyDescent="0.25">
      <c r="A203" t="s">
        <v>282</v>
      </c>
      <c r="B203" t="s">
        <v>286</v>
      </c>
      <c r="C203" t="s">
        <v>337</v>
      </c>
    </row>
    <row r="204" spans="1:5" x14ac:dyDescent="0.25">
      <c r="A204" t="str">
        <f>"=Resident"</f>
        <v>=Resident</v>
      </c>
      <c r="B204" t="str">
        <f>"=Primary Employee"</f>
        <v>=Primary Employee</v>
      </c>
      <c r="C204" t="s">
        <v>310</v>
      </c>
    </row>
    <row r="205" spans="1:5" x14ac:dyDescent="0.25">
      <c r="A205" t="s">
        <v>338</v>
      </c>
    </row>
    <row r="207" spans="1:5" x14ac:dyDescent="0.25">
      <c r="A207" t="s">
        <v>313</v>
      </c>
      <c r="B207" t="s">
        <v>313</v>
      </c>
      <c r="C207" t="s">
        <v>313</v>
      </c>
      <c r="D207" t="s">
        <v>313</v>
      </c>
      <c r="E207" t="s">
        <v>313</v>
      </c>
    </row>
    <row r="208" spans="1:5" x14ac:dyDescent="0.25">
      <c r="A208" t="s">
        <v>963</v>
      </c>
      <c r="B208" t="s">
        <v>964</v>
      </c>
      <c r="C208" t="s">
        <v>965</v>
      </c>
      <c r="D208" t="s">
        <v>966</v>
      </c>
      <c r="E208" t="s">
        <v>967</v>
      </c>
    </row>
    <row r="209" spans="1:3" x14ac:dyDescent="0.25">
      <c r="A209" t="s">
        <v>968</v>
      </c>
    </row>
    <row r="211" spans="1:3" x14ac:dyDescent="0.25">
      <c r="A211" t="s">
        <v>282</v>
      </c>
      <c r="B211" t="s">
        <v>286</v>
      </c>
      <c r="C211" t="s">
        <v>332</v>
      </c>
    </row>
    <row r="212" spans="1:3" x14ac:dyDescent="0.25">
      <c r="A212" t="str">
        <f>"=Non-Resident"</f>
        <v>=Non-Resident</v>
      </c>
      <c r="B212" t="str">
        <f>"=Primary Employee"</f>
        <v>=Primary Employee</v>
      </c>
      <c r="C212" t="s">
        <v>291</v>
      </c>
    </row>
    <row r="213" spans="1:3" x14ac:dyDescent="0.25">
      <c r="A213" t="s">
        <v>1071</v>
      </c>
    </row>
    <row r="215" spans="1:3" x14ac:dyDescent="0.25">
      <c r="A215" t="s">
        <v>282</v>
      </c>
      <c r="B215" t="s">
        <v>286</v>
      </c>
      <c r="C215" t="s">
        <v>206</v>
      </c>
    </row>
    <row r="216" spans="1:3" x14ac:dyDescent="0.25">
      <c r="A216" t="str">
        <f>"=Non-Resident"</f>
        <v>=Non-Resident</v>
      </c>
      <c r="B216" t="str">
        <f>"=Primary Employee"</f>
        <v>=Primary Employee</v>
      </c>
      <c r="C216" t="s">
        <v>310</v>
      </c>
    </row>
    <row r="217" spans="1:3" x14ac:dyDescent="0.25">
      <c r="A217" t="s">
        <v>1072</v>
      </c>
    </row>
    <row r="219" spans="1:3" x14ac:dyDescent="0.25">
      <c r="A219" t="s">
        <v>282</v>
      </c>
      <c r="B219" t="s">
        <v>286</v>
      </c>
      <c r="C219" t="s">
        <v>335</v>
      </c>
    </row>
    <row r="220" spans="1:3" x14ac:dyDescent="0.25">
      <c r="A220" t="str">
        <f>"=Non-Resident"</f>
        <v>=Non-Resident</v>
      </c>
      <c r="B220" t="str">
        <f>"=Primary Employee"</f>
        <v>=Primary Employee</v>
      </c>
      <c r="C220" t="s">
        <v>310</v>
      </c>
    </row>
    <row r="221" spans="1:3" x14ac:dyDescent="0.25">
      <c r="A221" t="s">
        <v>1036</v>
      </c>
    </row>
    <row r="223" spans="1:3" x14ac:dyDescent="0.25">
      <c r="A223" t="s">
        <v>282</v>
      </c>
      <c r="B223" t="s">
        <v>286</v>
      </c>
      <c r="C223" t="s">
        <v>337</v>
      </c>
    </row>
    <row r="224" spans="1:3" x14ac:dyDescent="0.25">
      <c r="A224" s="27" t="str">
        <f>"=Non-Resident"</f>
        <v>=Non-Resident</v>
      </c>
      <c r="B224" t="str">
        <f>"=Primary Employee"</f>
        <v>=Primary Employee</v>
      </c>
      <c r="C224" t="s">
        <v>291</v>
      </c>
    </row>
    <row r="225" spans="1:2" x14ac:dyDescent="0.25">
      <c r="A225" t="s">
        <v>1073</v>
      </c>
    </row>
    <row r="227" spans="1:2" x14ac:dyDescent="0.25">
      <c r="A227" t="s">
        <v>286</v>
      </c>
      <c r="B227" t="s">
        <v>332</v>
      </c>
    </row>
    <row r="228" spans="1:2" x14ac:dyDescent="0.25">
      <c r="A228" t="str">
        <f>"=Secondary Employee"</f>
        <v>=Secondary Employee</v>
      </c>
      <c r="B228" t="s">
        <v>291</v>
      </c>
    </row>
    <row r="229" spans="1:2" x14ac:dyDescent="0.25">
      <c r="A229" t="s">
        <v>1037</v>
      </c>
    </row>
    <row r="231" spans="1:2" x14ac:dyDescent="0.25">
      <c r="A231" t="s">
        <v>286</v>
      </c>
      <c r="B231" t="s">
        <v>206</v>
      </c>
    </row>
    <row r="232" spans="1:2" x14ac:dyDescent="0.25">
      <c r="A232" t="str">
        <f>"=Secondary Employee"</f>
        <v>=Secondary Employee</v>
      </c>
      <c r="B232" t="s">
        <v>291</v>
      </c>
    </row>
    <row r="233" spans="1:2" x14ac:dyDescent="0.25">
      <c r="A233" t="s">
        <v>1038</v>
      </c>
    </row>
    <row r="235" spans="1:2" x14ac:dyDescent="0.25">
      <c r="A235" t="s">
        <v>286</v>
      </c>
      <c r="B235" t="s">
        <v>335</v>
      </c>
    </row>
    <row r="236" spans="1:2" x14ac:dyDescent="0.25">
      <c r="A236" t="str">
        <f>"=Secondary Employee"</f>
        <v>=Secondary Employee</v>
      </c>
      <c r="B236" t="s">
        <v>291</v>
      </c>
    </row>
    <row r="237" spans="1:2" x14ac:dyDescent="0.25">
      <c r="A237" t="s">
        <v>1039</v>
      </c>
    </row>
    <row r="239" spans="1:2" x14ac:dyDescent="0.25">
      <c r="A239" t="s">
        <v>286</v>
      </c>
      <c r="B239" t="s">
        <v>337</v>
      </c>
    </row>
    <row r="240" spans="1:2" x14ac:dyDescent="0.25">
      <c r="A240" t="str">
        <f>"=Secondary Employee"</f>
        <v>=Secondary Employee</v>
      </c>
      <c r="B240" t="s">
        <v>291</v>
      </c>
    </row>
    <row r="241" spans="1:2" x14ac:dyDescent="0.25">
      <c r="A241" t="s">
        <v>1040</v>
      </c>
    </row>
    <row r="243" spans="1:2" x14ac:dyDescent="0.25">
      <c r="A243" t="s">
        <v>282</v>
      </c>
      <c r="B243" t="s">
        <v>133</v>
      </c>
    </row>
    <row r="244" spans="1:2" x14ac:dyDescent="0.25">
      <c r="A244" t="str">
        <f>"=Resident"</f>
        <v>=Resident</v>
      </c>
      <c r="B244" t="s">
        <v>310</v>
      </c>
    </row>
    <row r="245" spans="1:2" x14ac:dyDescent="0.25">
      <c r="A245" t="s">
        <v>1062</v>
      </c>
    </row>
    <row r="247" spans="1:2" x14ac:dyDescent="0.25">
      <c r="A247" t="s">
        <v>282</v>
      </c>
      <c r="B247" t="s">
        <v>133</v>
      </c>
    </row>
    <row r="248" spans="1:2" x14ac:dyDescent="0.25">
      <c r="A248" t="str">
        <f>"=Non-Resident"</f>
        <v>=Non-Resident</v>
      </c>
      <c r="B248" t="s">
        <v>291</v>
      </c>
    </row>
    <row r="249" spans="1:2" x14ac:dyDescent="0.25">
      <c r="A249" t="s">
        <v>1074</v>
      </c>
    </row>
    <row r="251" spans="1:2" x14ac:dyDescent="0.25">
      <c r="A251" t="s">
        <v>1084</v>
      </c>
    </row>
    <row r="252" spans="1:2" x14ac:dyDescent="0.25">
      <c r="A252" t="s">
        <v>310</v>
      </c>
    </row>
    <row r="253" spans="1:2" x14ac:dyDescent="0.25">
      <c r="A253" t="s">
        <v>1085</v>
      </c>
    </row>
    <row r="255" spans="1:2" x14ac:dyDescent="0.25">
      <c r="A255" t="s">
        <v>340</v>
      </c>
    </row>
    <row r="256" spans="1:2" x14ac:dyDescent="0.25">
      <c r="A256" t="str">
        <f>"=???????????????????????????????????????????????????*"</f>
        <v>=???????????????????????????????????????????????????*</v>
      </c>
    </row>
    <row r="257" spans="1:35" x14ac:dyDescent="0.25">
      <c r="A257" t="s">
        <v>1101</v>
      </c>
    </row>
    <row r="259" spans="1:35" x14ac:dyDescent="0.25">
      <c r="A259" t="s">
        <v>1114</v>
      </c>
    </row>
    <row r="260" spans="1:35" x14ac:dyDescent="0.25">
      <c r="A260" t="s">
        <v>1017</v>
      </c>
    </row>
    <row r="261" spans="1:35" x14ac:dyDescent="0.25">
      <c r="A261" s="127" t="s">
        <v>1115</v>
      </c>
    </row>
    <row r="263" spans="1:35" x14ac:dyDescent="0.25">
      <c r="A263" t="s">
        <v>339</v>
      </c>
      <c r="B263" t="s">
        <v>340</v>
      </c>
      <c r="C263" t="s">
        <v>282</v>
      </c>
      <c r="D263" t="s">
        <v>286</v>
      </c>
      <c r="E263" t="s">
        <v>341</v>
      </c>
      <c r="F263" t="s">
        <v>342</v>
      </c>
      <c r="G263" t="s">
        <v>343</v>
      </c>
      <c r="H263" t="s">
        <v>344</v>
      </c>
      <c r="I263" t="s">
        <v>345</v>
      </c>
      <c r="J263" t="s">
        <v>346</v>
      </c>
      <c r="K263" t="s">
        <v>347</v>
      </c>
      <c r="L263" t="s">
        <v>348</v>
      </c>
      <c r="M263" t="s">
        <v>290</v>
      </c>
      <c r="N263" t="s">
        <v>1084</v>
      </c>
      <c r="O263" t="s">
        <v>125</v>
      </c>
      <c r="P263" t="s">
        <v>203</v>
      </c>
      <c r="Q263" t="s">
        <v>312</v>
      </c>
      <c r="R263" t="s">
        <v>313</v>
      </c>
      <c r="S263" t="s">
        <v>315</v>
      </c>
      <c r="T263" t="s">
        <v>294</v>
      </c>
      <c r="U263" t="s">
        <v>317</v>
      </c>
      <c r="V263" t="s">
        <v>296</v>
      </c>
      <c r="W263" t="s">
        <v>298</v>
      </c>
      <c r="X263" t="s">
        <v>300</v>
      </c>
      <c r="Y263" t="s">
        <v>332</v>
      </c>
      <c r="Z263" t="s">
        <v>302</v>
      </c>
      <c r="AA263" t="s">
        <v>206</v>
      </c>
      <c r="AB263" t="s">
        <v>335</v>
      </c>
      <c r="AC263" t="s">
        <v>304</v>
      </c>
      <c r="AD263" t="s">
        <v>209</v>
      </c>
      <c r="AE263" t="s">
        <v>241</v>
      </c>
      <c r="AF263" t="s">
        <v>337</v>
      </c>
      <c r="AG263" t="s">
        <v>133</v>
      </c>
      <c r="AH263" t="s">
        <v>212</v>
      </c>
      <c r="AI263" t="s">
        <v>132</v>
      </c>
    </row>
    <row r="305" spans="1:4" x14ac:dyDescent="0.25">
      <c r="A305" t="s">
        <v>350</v>
      </c>
    </row>
    <row r="306" spans="1:4" x14ac:dyDescent="0.25">
      <c r="A306" t="s">
        <v>195</v>
      </c>
      <c r="B306" t="s">
        <v>196</v>
      </c>
      <c r="C306" t="s">
        <v>197</v>
      </c>
      <c r="D306" t="s">
        <v>198</v>
      </c>
    </row>
    <row r="307" spans="1:4" x14ac:dyDescent="0.25">
      <c r="A307" t="s">
        <v>199</v>
      </c>
      <c r="B307">
        <v>370</v>
      </c>
      <c r="C307" t="s">
        <v>200</v>
      </c>
      <c r="D307" t="s">
        <v>125</v>
      </c>
    </row>
    <row r="308" spans="1:4" x14ac:dyDescent="0.25">
      <c r="A308" t="s">
        <v>201</v>
      </c>
      <c r="B308">
        <v>374</v>
      </c>
      <c r="C308" t="s">
        <v>202</v>
      </c>
      <c r="D308" t="s">
        <v>203</v>
      </c>
    </row>
    <row r="309" spans="1:4" x14ac:dyDescent="0.25">
      <c r="A309" t="s">
        <v>204</v>
      </c>
      <c r="B309">
        <v>378</v>
      </c>
      <c r="C309" t="s">
        <v>205</v>
      </c>
      <c r="D309" t="s">
        <v>335</v>
      </c>
    </row>
    <row r="310" spans="1:4" x14ac:dyDescent="0.25">
      <c r="A310" t="s">
        <v>207</v>
      </c>
      <c r="B310">
        <v>382</v>
      </c>
      <c r="C310" t="s">
        <v>208</v>
      </c>
      <c r="D310" t="s">
        <v>241</v>
      </c>
    </row>
    <row r="311" spans="1:4" x14ac:dyDescent="0.25">
      <c r="A311" t="s">
        <v>210</v>
      </c>
      <c r="B311">
        <v>386</v>
      </c>
      <c r="C311" t="s">
        <v>211</v>
      </c>
      <c r="D311" t="s">
        <v>135</v>
      </c>
    </row>
    <row r="312" spans="1:4" x14ac:dyDescent="0.25">
      <c r="A312" t="s">
        <v>213</v>
      </c>
      <c r="B312">
        <v>390</v>
      </c>
      <c r="C312" t="s">
        <v>214</v>
      </c>
      <c r="D312" t="s">
        <v>220</v>
      </c>
    </row>
    <row r="313" spans="1:4" x14ac:dyDescent="0.25">
      <c r="A313" t="s">
        <v>216</v>
      </c>
      <c r="B313">
        <v>394</v>
      </c>
      <c r="C313" t="s">
        <v>217</v>
      </c>
      <c r="D313" t="s">
        <v>273</v>
      </c>
    </row>
    <row r="314" spans="1:4" x14ac:dyDescent="0.25">
      <c r="A314" t="s">
        <v>218</v>
      </c>
      <c r="B314">
        <v>398</v>
      </c>
      <c r="C314" t="s">
        <v>219</v>
      </c>
      <c r="D314" t="s">
        <v>276</v>
      </c>
    </row>
    <row r="315" spans="1:4" x14ac:dyDescent="0.25">
      <c r="A315" t="s">
        <v>221</v>
      </c>
      <c r="B315">
        <v>402</v>
      </c>
      <c r="C315" t="s">
        <v>222</v>
      </c>
      <c r="D315" t="s">
        <v>229</v>
      </c>
    </row>
    <row r="316" spans="1:4" x14ac:dyDescent="0.25">
      <c r="A316" t="s">
        <v>224</v>
      </c>
      <c r="B316">
        <v>404</v>
      </c>
      <c r="C316" t="s">
        <v>225</v>
      </c>
      <c r="D316" t="s">
        <v>351</v>
      </c>
    </row>
    <row r="317" spans="1:4" x14ac:dyDescent="0.25">
      <c r="A317" t="s">
        <v>227</v>
      </c>
      <c r="B317">
        <v>410</v>
      </c>
      <c r="C317" t="s">
        <v>228</v>
      </c>
      <c r="D317" t="s">
        <v>232</v>
      </c>
    </row>
    <row r="318" spans="1:4" x14ac:dyDescent="0.25">
      <c r="A318" t="s">
        <v>230</v>
      </c>
      <c r="B318">
        <v>414</v>
      </c>
      <c r="C318" t="s">
        <v>231</v>
      </c>
      <c r="D318" t="s">
        <v>352</v>
      </c>
    </row>
    <row r="319" spans="1:4" x14ac:dyDescent="0.25">
      <c r="A319" t="s">
        <v>233</v>
      </c>
      <c r="B319">
        <v>418</v>
      </c>
      <c r="C319" t="s">
        <v>234</v>
      </c>
      <c r="D319" t="s">
        <v>353</v>
      </c>
    </row>
    <row r="320" spans="1:4" x14ac:dyDescent="0.25">
      <c r="A320" t="s">
        <v>236</v>
      </c>
      <c r="B320">
        <v>422</v>
      </c>
      <c r="C320" t="s">
        <v>237</v>
      </c>
      <c r="D320" t="s">
        <v>238</v>
      </c>
    </row>
    <row r="321" spans="1:4" x14ac:dyDescent="0.25">
      <c r="A321" t="s">
        <v>239</v>
      </c>
      <c r="B321">
        <v>426</v>
      </c>
      <c r="C321" t="s">
        <v>240</v>
      </c>
      <c r="D321" t="s">
        <v>354</v>
      </c>
    </row>
    <row r="322" spans="1:4" x14ac:dyDescent="0.25">
      <c r="A322" t="s">
        <v>242</v>
      </c>
      <c r="B322">
        <v>430</v>
      </c>
      <c r="C322" t="s">
        <v>243</v>
      </c>
      <c r="D322" t="s">
        <v>212</v>
      </c>
    </row>
    <row r="323" spans="1:4" x14ac:dyDescent="0.25">
      <c r="A323" t="s">
        <v>244</v>
      </c>
      <c r="B323">
        <v>434</v>
      </c>
      <c r="C323" t="s">
        <v>245</v>
      </c>
      <c r="D323" t="s">
        <v>215</v>
      </c>
    </row>
    <row r="324" spans="1:4" x14ac:dyDescent="0.25">
      <c r="A324" t="s">
        <v>247</v>
      </c>
      <c r="B324">
        <v>438</v>
      </c>
      <c r="C324" t="s">
        <v>248</v>
      </c>
      <c r="D324" t="s">
        <v>337</v>
      </c>
    </row>
    <row r="325" spans="1:4" x14ac:dyDescent="0.25">
      <c r="A325" t="s">
        <v>249</v>
      </c>
      <c r="B325">
        <v>442</v>
      </c>
      <c r="C325" t="s">
        <v>250</v>
      </c>
      <c r="D325" t="s">
        <v>212</v>
      </c>
    </row>
    <row r="326" spans="1:4" x14ac:dyDescent="0.25">
      <c r="A326" t="s">
        <v>251</v>
      </c>
      <c r="B326">
        <v>446</v>
      </c>
      <c r="C326" t="s">
        <v>252</v>
      </c>
      <c r="D326" t="s">
        <v>215</v>
      </c>
    </row>
    <row r="327" spans="1:4" x14ac:dyDescent="0.25">
      <c r="A327" t="s">
        <v>253</v>
      </c>
      <c r="B327">
        <v>450</v>
      </c>
      <c r="C327" t="s">
        <v>254</v>
      </c>
      <c r="D327" t="s">
        <v>212</v>
      </c>
    </row>
    <row r="328" spans="1:4" x14ac:dyDescent="0.25">
      <c r="A328" t="s">
        <v>255</v>
      </c>
      <c r="B328">
        <v>454</v>
      </c>
      <c r="C328" t="s">
        <v>256</v>
      </c>
      <c r="D328" t="s">
        <v>215</v>
      </c>
    </row>
    <row r="329" spans="1:4" x14ac:dyDescent="0.25">
      <c r="A329" t="s">
        <v>257</v>
      </c>
      <c r="B329">
        <v>458</v>
      </c>
      <c r="C329" t="s">
        <v>258</v>
      </c>
      <c r="D329" t="s">
        <v>337</v>
      </c>
    </row>
    <row r="330" spans="1:4" x14ac:dyDescent="0.25">
      <c r="A330" t="s">
        <v>259</v>
      </c>
      <c r="B330">
        <v>462</v>
      </c>
      <c r="C330" t="s">
        <v>260</v>
      </c>
      <c r="D330" t="s">
        <v>212</v>
      </c>
    </row>
    <row r="331" spans="1:4" x14ac:dyDescent="0.25">
      <c r="A331" t="s">
        <v>261</v>
      </c>
      <c r="B331">
        <v>466</v>
      </c>
      <c r="C331" t="s">
        <v>262</v>
      </c>
      <c r="D331" t="s">
        <v>215</v>
      </c>
    </row>
    <row r="332" spans="1:4" x14ac:dyDescent="0.25">
      <c r="A332" t="s">
        <v>263</v>
      </c>
      <c r="B332">
        <v>470</v>
      </c>
      <c r="C332" t="s">
        <v>264</v>
      </c>
      <c r="D332" t="s">
        <v>337</v>
      </c>
    </row>
    <row r="333" spans="1:4" x14ac:dyDescent="0.25">
      <c r="A333" t="s">
        <v>265</v>
      </c>
      <c r="B333">
        <v>474</v>
      </c>
      <c r="C333" t="s">
        <v>266</v>
      </c>
      <c r="D333" t="s">
        <v>337</v>
      </c>
    </row>
    <row r="334" spans="1:4" x14ac:dyDescent="0.25">
      <c r="A334" t="s">
        <v>267</v>
      </c>
      <c r="B334">
        <v>478</v>
      </c>
      <c r="C334" t="s">
        <v>268</v>
      </c>
      <c r="D334" t="s">
        <v>212</v>
      </c>
    </row>
    <row r="335" spans="1:4" x14ac:dyDescent="0.25">
      <c r="A335" t="s">
        <v>269</v>
      </c>
      <c r="B335">
        <v>482</v>
      </c>
      <c r="C335" t="s">
        <v>270</v>
      </c>
      <c r="D335" t="s">
        <v>246</v>
      </c>
    </row>
    <row r="336" spans="1:4" x14ac:dyDescent="0.25">
      <c r="A336" t="s">
        <v>271</v>
      </c>
      <c r="B336">
        <v>486</v>
      </c>
      <c r="C336" t="s">
        <v>272</v>
      </c>
      <c r="D336" t="s">
        <v>215</v>
      </c>
    </row>
    <row r="337" spans="1:4" x14ac:dyDescent="0.25">
      <c r="A337" t="s">
        <v>277</v>
      </c>
      <c r="B337">
        <v>490</v>
      </c>
      <c r="C337" t="s">
        <v>1077</v>
      </c>
      <c r="D337" t="s">
        <v>294</v>
      </c>
    </row>
    <row r="338" spans="1:4" x14ac:dyDescent="0.25">
      <c r="A338" t="s">
        <v>280</v>
      </c>
      <c r="B338">
        <v>494</v>
      </c>
      <c r="C338" t="s">
        <v>278</v>
      </c>
      <c r="D338" t="s">
        <v>223</v>
      </c>
    </row>
    <row r="339" spans="1:4" x14ac:dyDescent="0.25">
      <c r="A339" t="s">
        <v>355</v>
      </c>
      <c r="B339">
        <v>498</v>
      </c>
      <c r="C339" t="s">
        <v>281</v>
      </c>
      <c r="D339" t="s">
        <v>279</v>
      </c>
    </row>
    <row r="340" spans="1:4" x14ac:dyDescent="0.25">
      <c r="A340" t="s">
        <v>357</v>
      </c>
      <c r="B340">
        <v>502</v>
      </c>
      <c r="C340" t="s">
        <v>356</v>
      </c>
      <c r="D340" t="s">
        <v>226</v>
      </c>
    </row>
    <row r="341" spans="1:4" x14ac:dyDescent="0.25">
      <c r="A341" t="s">
        <v>359</v>
      </c>
      <c r="B341">
        <v>506</v>
      </c>
      <c r="C341" t="s">
        <v>358</v>
      </c>
      <c r="D341" t="s">
        <v>235</v>
      </c>
    </row>
    <row r="342" spans="1:4" x14ac:dyDescent="0.25">
      <c r="A342" t="s">
        <v>456</v>
      </c>
      <c r="B342">
        <v>510</v>
      </c>
      <c r="C342" t="s">
        <v>1078</v>
      </c>
      <c r="D342" t="s">
        <v>133</v>
      </c>
    </row>
    <row r="343" spans="1:4" x14ac:dyDescent="0.25">
      <c r="A343" t="s">
        <v>970</v>
      </c>
      <c r="B343">
        <v>514</v>
      </c>
      <c r="C343" t="s">
        <v>1026</v>
      </c>
      <c r="D343" t="s">
        <v>223</v>
      </c>
    </row>
    <row r="344" spans="1:4" x14ac:dyDescent="0.25">
      <c r="A344" t="s">
        <v>1028</v>
      </c>
      <c r="B344">
        <v>518</v>
      </c>
      <c r="C344" t="s">
        <v>1027</v>
      </c>
      <c r="D344" t="s">
        <v>279</v>
      </c>
    </row>
    <row r="345" spans="1:4" x14ac:dyDescent="0.25">
      <c r="A345" t="s">
        <v>1030</v>
      </c>
      <c r="B345">
        <v>522</v>
      </c>
      <c r="C345" t="s">
        <v>1079</v>
      </c>
      <c r="D345" t="s">
        <v>226</v>
      </c>
    </row>
    <row r="346" spans="1:4" x14ac:dyDescent="0.25">
      <c r="A346" t="s">
        <v>1032</v>
      </c>
      <c r="B346">
        <v>526</v>
      </c>
      <c r="C346" t="s">
        <v>1080</v>
      </c>
      <c r="D346" t="s">
        <v>235</v>
      </c>
    </row>
    <row r="347" spans="1:4" x14ac:dyDescent="0.25">
      <c r="A347" t="s">
        <v>1034</v>
      </c>
      <c r="B347">
        <v>530</v>
      </c>
      <c r="C347" t="s">
        <v>1033</v>
      </c>
      <c r="D347" t="s">
        <v>223</v>
      </c>
    </row>
    <row r="348" spans="1:4" x14ac:dyDescent="0.25">
      <c r="A348" t="s">
        <v>1041</v>
      </c>
      <c r="B348">
        <v>534</v>
      </c>
      <c r="C348" t="s">
        <v>1035</v>
      </c>
      <c r="D348" t="s">
        <v>279</v>
      </c>
    </row>
    <row r="349" spans="1:4" x14ac:dyDescent="0.25">
      <c r="A349" t="s">
        <v>1043</v>
      </c>
      <c r="B349">
        <v>538</v>
      </c>
      <c r="C349" t="s">
        <v>1042</v>
      </c>
      <c r="D349" t="s">
        <v>226</v>
      </c>
    </row>
    <row r="350" spans="1:4" x14ac:dyDescent="0.25">
      <c r="A350" t="s">
        <v>1045</v>
      </c>
      <c r="B350">
        <v>542</v>
      </c>
      <c r="C350" t="s">
        <v>1044</v>
      </c>
      <c r="D350" t="s">
        <v>235</v>
      </c>
    </row>
    <row r="351" spans="1:4" x14ac:dyDescent="0.25">
      <c r="A351" t="s">
        <v>1058</v>
      </c>
      <c r="B351">
        <v>546</v>
      </c>
      <c r="C351" t="s">
        <v>1046</v>
      </c>
      <c r="D351" t="s">
        <v>238</v>
      </c>
    </row>
    <row r="352" spans="1:4" x14ac:dyDescent="0.25">
      <c r="A352" t="s">
        <v>1064</v>
      </c>
      <c r="B352">
        <v>550</v>
      </c>
      <c r="C352" t="s">
        <v>1063</v>
      </c>
      <c r="D352" t="s">
        <v>238</v>
      </c>
    </row>
    <row r="353" spans="1:4" x14ac:dyDescent="0.25">
      <c r="A353" t="s">
        <v>1067</v>
      </c>
      <c r="B353">
        <v>554</v>
      </c>
      <c r="C353" t="s">
        <v>1087</v>
      </c>
      <c r="D353" t="s">
        <v>304</v>
      </c>
    </row>
    <row r="354" spans="1:4" x14ac:dyDescent="0.25">
      <c r="A354" t="s">
        <v>1089</v>
      </c>
      <c r="B354">
        <v>558</v>
      </c>
      <c r="C354" t="s">
        <v>1099</v>
      </c>
      <c r="D354" t="s">
        <v>349</v>
      </c>
    </row>
    <row r="355" spans="1:4" x14ac:dyDescent="0.25">
      <c r="A355" t="s">
        <v>1103</v>
      </c>
      <c r="B355">
        <v>562</v>
      </c>
      <c r="C355" t="s">
        <v>1107</v>
      </c>
      <c r="D355" t="s">
        <v>312</v>
      </c>
    </row>
    <row r="356" spans="1:4" x14ac:dyDescent="0.25">
      <c r="A356" t="s">
        <v>1108</v>
      </c>
      <c r="B356">
        <v>566</v>
      </c>
      <c r="C356" t="s">
        <v>1119</v>
      </c>
      <c r="D356" t="s">
        <v>354</v>
      </c>
    </row>
    <row r="369" spans="1:2" x14ac:dyDescent="0.25">
      <c r="A369" t="s">
        <v>282</v>
      </c>
      <c r="B369" t="s">
        <v>282</v>
      </c>
    </row>
    <row r="370" spans="1:2" x14ac:dyDescent="0.25">
      <c r="A370" t="s">
        <v>283</v>
      </c>
      <c r="B370" t="s">
        <v>284</v>
      </c>
    </row>
    <row r="371" spans="1:2" x14ac:dyDescent="0.25">
      <c r="A371" t="s">
        <v>285</v>
      </c>
    </row>
    <row r="373" spans="1:2" x14ac:dyDescent="0.25">
      <c r="A373" t="s">
        <v>286</v>
      </c>
      <c r="B373" t="s">
        <v>286</v>
      </c>
    </row>
    <row r="374" spans="1:2" x14ac:dyDescent="0.25">
      <c r="A374" t="s">
        <v>287</v>
      </c>
      <c r="B374" t="s">
        <v>288</v>
      </c>
    </row>
    <row r="375" spans="1:2" x14ac:dyDescent="0.25">
      <c r="A375" t="s">
        <v>289</v>
      </c>
    </row>
    <row r="377" spans="1:2" x14ac:dyDescent="0.25">
      <c r="A377" t="s">
        <v>290</v>
      </c>
    </row>
    <row r="378" spans="1:2" x14ac:dyDescent="0.25">
      <c r="A378" t="s">
        <v>291</v>
      </c>
    </row>
    <row r="379" spans="1:2" x14ac:dyDescent="0.25">
      <c r="A379" t="s">
        <v>292</v>
      </c>
    </row>
    <row r="381" spans="1:2" x14ac:dyDescent="0.25">
      <c r="A381" t="s">
        <v>203</v>
      </c>
    </row>
    <row r="382" spans="1:2" x14ac:dyDescent="0.25">
      <c r="A382" t="s">
        <v>291</v>
      </c>
    </row>
    <row r="383" spans="1:2" x14ac:dyDescent="0.25">
      <c r="A383" t="s">
        <v>293</v>
      </c>
    </row>
    <row r="385" spans="1:1" x14ac:dyDescent="0.25">
      <c r="A385" t="s">
        <v>296</v>
      </c>
    </row>
    <row r="386" spans="1:1" x14ac:dyDescent="0.25">
      <c r="A386" t="s">
        <v>291</v>
      </c>
    </row>
    <row r="387" spans="1:1" x14ac:dyDescent="0.25">
      <c r="A387" t="s">
        <v>297</v>
      </c>
    </row>
    <row r="389" spans="1:1" x14ac:dyDescent="0.25">
      <c r="A389" t="s">
        <v>298</v>
      </c>
    </row>
    <row r="390" spans="1:1" x14ac:dyDescent="0.25">
      <c r="A390" t="s">
        <v>291</v>
      </c>
    </row>
    <row r="391" spans="1:1" x14ac:dyDescent="0.25">
      <c r="A391" s="190" t="s">
        <v>299</v>
      </c>
    </row>
    <row r="393" spans="1:1" x14ac:dyDescent="0.25">
      <c r="A393" t="s">
        <v>300</v>
      </c>
    </row>
    <row r="394" spans="1:1" x14ac:dyDescent="0.25">
      <c r="A394" t="s">
        <v>291</v>
      </c>
    </row>
    <row r="395" spans="1:1" x14ac:dyDescent="0.25">
      <c r="A395" t="s">
        <v>301</v>
      </c>
    </row>
    <row r="397" spans="1:1" x14ac:dyDescent="0.25">
      <c r="A397" t="s">
        <v>302</v>
      </c>
    </row>
    <row r="398" spans="1:1" x14ac:dyDescent="0.25">
      <c r="A398" t="s">
        <v>291</v>
      </c>
    </row>
    <row r="399" spans="1:1" x14ac:dyDescent="0.25">
      <c r="A399" t="s">
        <v>303</v>
      </c>
    </row>
    <row r="401" spans="1:1" x14ac:dyDescent="0.25">
      <c r="A401" t="s">
        <v>304</v>
      </c>
    </row>
    <row r="402" spans="1:1" x14ac:dyDescent="0.25">
      <c r="A402" t="s">
        <v>291</v>
      </c>
    </row>
    <row r="403" spans="1:1" x14ac:dyDescent="0.25">
      <c r="A403" t="s">
        <v>305</v>
      </c>
    </row>
    <row r="405" spans="1:1" x14ac:dyDescent="0.25">
      <c r="A405" t="s">
        <v>209</v>
      </c>
    </row>
    <row r="406" spans="1:1" x14ac:dyDescent="0.25">
      <c r="A406" t="s">
        <v>291</v>
      </c>
    </row>
    <row r="407" spans="1:1" x14ac:dyDescent="0.25">
      <c r="A407" s="127" t="s">
        <v>361</v>
      </c>
    </row>
    <row r="409" spans="1:1" x14ac:dyDescent="0.25">
      <c r="A409" t="s">
        <v>241</v>
      </c>
    </row>
    <row r="410" spans="1:1" x14ac:dyDescent="0.25">
      <c r="A410" t="s">
        <v>291</v>
      </c>
    </row>
    <row r="411" spans="1:1" x14ac:dyDescent="0.25">
      <c r="A411" t="s">
        <v>362</v>
      </c>
    </row>
    <row r="413" spans="1:1" x14ac:dyDescent="0.25">
      <c r="A413" t="s">
        <v>337</v>
      </c>
    </row>
    <row r="414" spans="1:1" x14ac:dyDescent="0.25">
      <c r="A414" t="s">
        <v>291</v>
      </c>
    </row>
    <row r="415" spans="1:1" x14ac:dyDescent="0.25">
      <c r="A415" t="s">
        <v>363</v>
      </c>
    </row>
    <row r="417" spans="1:2" x14ac:dyDescent="0.25">
      <c r="A417" t="s">
        <v>246</v>
      </c>
    </row>
    <row r="418" spans="1:2" x14ac:dyDescent="0.25">
      <c r="A418" t="s">
        <v>291</v>
      </c>
    </row>
    <row r="419" spans="1:2" x14ac:dyDescent="0.25">
      <c r="A419" t="s">
        <v>364</v>
      </c>
    </row>
    <row r="421" spans="1:2" x14ac:dyDescent="0.25">
      <c r="A421" t="s">
        <v>309</v>
      </c>
    </row>
    <row r="422" spans="1:2" x14ac:dyDescent="0.25">
      <c r="A422" t="s">
        <v>310</v>
      </c>
    </row>
    <row r="423" spans="1:2" x14ac:dyDescent="0.25">
      <c r="A423" s="127" t="s">
        <v>1120</v>
      </c>
    </row>
    <row r="425" spans="1:2" x14ac:dyDescent="0.25">
      <c r="A425" t="s">
        <v>312</v>
      </c>
      <c r="B425" t="s">
        <v>313</v>
      </c>
    </row>
    <row r="426" spans="1:2" x14ac:dyDescent="0.25">
      <c r="A426" t="s">
        <v>310</v>
      </c>
      <c r="B426" t="str">
        <f>"=Benefit not given"</f>
        <v>=Benefit not given</v>
      </c>
    </row>
    <row r="427" spans="1:2" x14ac:dyDescent="0.25">
      <c r="A427" t="s">
        <v>314</v>
      </c>
    </row>
    <row r="429" spans="1:2" x14ac:dyDescent="0.25">
      <c r="A429" t="s">
        <v>313</v>
      </c>
      <c r="B429" t="s">
        <v>315</v>
      </c>
    </row>
    <row r="430" spans="1:2" x14ac:dyDescent="0.25">
      <c r="A430" t="str">
        <f>"=Benefit not given"</f>
        <v>=Benefit not given</v>
      </c>
      <c r="B430" t="s">
        <v>291</v>
      </c>
    </row>
    <row r="431" spans="1:2" x14ac:dyDescent="0.25">
      <c r="A431" t="s">
        <v>316</v>
      </c>
    </row>
    <row r="433" spans="1:2" x14ac:dyDescent="0.25">
      <c r="A433" t="s">
        <v>313</v>
      </c>
      <c r="B433" t="s">
        <v>317</v>
      </c>
    </row>
    <row r="434" spans="1:2" x14ac:dyDescent="0.25">
      <c r="A434" t="str">
        <f>"=Benefit not given"</f>
        <v>=Benefit not given</v>
      </c>
      <c r="B434" t="s">
        <v>291</v>
      </c>
    </row>
    <row r="435" spans="1:2" x14ac:dyDescent="0.25">
      <c r="A435" t="s">
        <v>318</v>
      </c>
    </row>
    <row r="437" spans="1:2" x14ac:dyDescent="0.25">
      <c r="A437" t="s">
        <v>312</v>
      </c>
      <c r="B437" t="s">
        <v>313</v>
      </c>
    </row>
    <row r="438" spans="1:2" x14ac:dyDescent="0.25">
      <c r="A438" t="s">
        <v>310</v>
      </c>
      <c r="B438" t="str">
        <f>"=House to Non full time service Director"</f>
        <v>=House to Non full time service Director</v>
      </c>
    </row>
    <row r="439" spans="1:2" x14ac:dyDescent="0.25">
      <c r="A439" t="s">
        <v>319</v>
      </c>
    </row>
    <row r="441" spans="1:2" x14ac:dyDescent="0.25">
      <c r="A441" t="s">
        <v>313</v>
      </c>
      <c r="B441" t="s">
        <v>315</v>
      </c>
    </row>
    <row r="442" spans="1:2" x14ac:dyDescent="0.25">
      <c r="A442" t="str">
        <f>"=House to Non full time service Director"</f>
        <v>=House to Non full time service Director</v>
      </c>
      <c r="B442" t="s">
        <v>291</v>
      </c>
    </row>
    <row r="443" spans="1:2" x14ac:dyDescent="0.25">
      <c r="A443" t="s">
        <v>320</v>
      </c>
    </row>
    <row r="445" spans="1:2" x14ac:dyDescent="0.25">
      <c r="A445" t="s">
        <v>313</v>
      </c>
      <c r="B445" t="s">
        <v>317</v>
      </c>
    </row>
    <row r="446" spans="1:2" x14ac:dyDescent="0.25">
      <c r="A446" t="str">
        <f>"=House to Non full time service Director"</f>
        <v>=House to Non full time service Director</v>
      </c>
      <c r="B446" t="s">
        <v>291</v>
      </c>
    </row>
    <row r="447" spans="1:2" x14ac:dyDescent="0.25">
      <c r="A447" t="s">
        <v>321</v>
      </c>
    </row>
    <row r="449" spans="1:2" x14ac:dyDescent="0.25">
      <c r="A449" t="s">
        <v>313</v>
      </c>
      <c r="B449" t="s">
        <v>315</v>
      </c>
    </row>
    <row r="450" spans="1:2" x14ac:dyDescent="0.25">
      <c r="A450" t="s">
        <v>323</v>
      </c>
      <c r="B450" t="s">
        <v>310</v>
      </c>
    </row>
    <row r="451" spans="1:2" x14ac:dyDescent="0.25">
      <c r="A451" t="s">
        <v>322</v>
      </c>
    </row>
    <row r="453" spans="1:2" x14ac:dyDescent="0.25">
      <c r="A453" t="s">
        <v>313</v>
      </c>
      <c r="B453" t="s">
        <v>317</v>
      </c>
    </row>
    <row r="454" spans="1:2" x14ac:dyDescent="0.25">
      <c r="A454" t="s">
        <v>323</v>
      </c>
      <c r="B454" t="s">
        <v>310</v>
      </c>
    </row>
    <row r="455" spans="1:2" x14ac:dyDescent="0.25">
      <c r="A455" t="s">
        <v>324</v>
      </c>
    </row>
    <row r="457" spans="1:2" x14ac:dyDescent="0.25">
      <c r="A457" t="s">
        <v>312</v>
      </c>
      <c r="B457" t="s">
        <v>313</v>
      </c>
    </row>
    <row r="458" spans="1:2" x14ac:dyDescent="0.25">
      <c r="A458" t="s">
        <v>291</v>
      </c>
      <c r="B458" t="s">
        <v>323</v>
      </c>
    </row>
    <row r="459" spans="1:2" x14ac:dyDescent="0.25">
      <c r="A459" t="s">
        <v>325</v>
      </c>
    </row>
    <row r="461" spans="1:2" x14ac:dyDescent="0.25">
      <c r="A461" t="s">
        <v>313</v>
      </c>
      <c r="B461" t="s">
        <v>315</v>
      </c>
    </row>
    <row r="462" spans="1:2" x14ac:dyDescent="0.25">
      <c r="A462" t="s">
        <v>437</v>
      </c>
      <c r="B462" t="s">
        <v>310</v>
      </c>
    </row>
    <row r="463" spans="1:2" x14ac:dyDescent="0.25">
      <c r="A463" t="s">
        <v>326</v>
      </c>
    </row>
    <row r="465" spans="1:2" x14ac:dyDescent="0.25">
      <c r="A465" t="s">
        <v>313</v>
      </c>
      <c r="B465" t="s">
        <v>317</v>
      </c>
    </row>
    <row r="466" spans="1:2" x14ac:dyDescent="0.25">
      <c r="A466" t="s">
        <v>437</v>
      </c>
      <c r="B466" t="s">
        <v>310</v>
      </c>
    </row>
    <row r="467" spans="1:2" x14ac:dyDescent="0.25">
      <c r="A467" t="s">
        <v>327</v>
      </c>
    </row>
    <row r="469" spans="1:2" x14ac:dyDescent="0.25">
      <c r="A469" t="s">
        <v>312</v>
      </c>
      <c r="B469" t="s">
        <v>313</v>
      </c>
    </row>
    <row r="470" spans="1:2" x14ac:dyDescent="0.25">
      <c r="A470" t="s">
        <v>291</v>
      </c>
      <c r="B470" t="s">
        <v>437</v>
      </c>
    </row>
    <row r="471" spans="1:2" x14ac:dyDescent="0.25">
      <c r="A471" t="s">
        <v>328</v>
      </c>
    </row>
    <row r="473" spans="1:2" x14ac:dyDescent="0.25">
      <c r="A473" t="s">
        <v>312</v>
      </c>
      <c r="B473" t="s">
        <v>313</v>
      </c>
    </row>
    <row r="474" spans="1:2" x14ac:dyDescent="0.25">
      <c r="A474" t="s">
        <v>291</v>
      </c>
      <c r="B474" t="str">
        <f>"=Agriculture Farm"</f>
        <v>=Agriculture Farm</v>
      </c>
    </row>
    <row r="475" spans="1:2" x14ac:dyDescent="0.25">
      <c r="A475" t="s">
        <v>329</v>
      </c>
    </row>
    <row r="477" spans="1:2" x14ac:dyDescent="0.25">
      <c r="A477" t="s">
        <v>313</v>
      </c>
      <c r="B477" t="s">
        <v>315</v>
      </c>
    </row>
    <row r="478" spans="1:2" x14ac:dyDescent="0.25">
      <c r="A478" t="str">
        <f>"=Agriculture Farm"</f>
        <v>=Agriculture Farm</v>
      </c>
      <c r="B478" t="s">
        <v>291</v>
      </c>
    </row>
    <row r="479" spans="1:2" x14ac:dyDescent="0.25">
      <c r="A479" t="s">
        <v>330</v>
      </c>
    </row>
    <row r="481" spans="1:3" x14ac:dyDescent="0.25">
      <c r="A481" t="s">
        <v>313</v>
      </c>
      <c r="B481" t="s">
        <v>294</v>
      </c>
    </row>
    <row r="482" spans="1:3" x14ac:dyDescent="0.25">
      <c r="A482" t="str">
        <f>"=Agriculture Farm"</f>
        <v>=Agriculture Farm</v>
      </c>
      <c r="B482" t="s">
        <v>291</v>
      </c>
    </row>
    <row r="483" spans="1:3" x14ac:dyDescent="0.25">
      <c r="A483" t="s">
        <v>365</v>
      </c>
    </row>
    <row r="485" spans="1:3" x14ac:dyDescent="0.25">
      <c r="A485" t="s">
        <v>313</v>
      </c>
      <c r="B485" t="s">
        <v>317</v>
      </c>
    </row>
    <row r="486" spans="1:3" x14ac:dyDescent="0.25">
      <c r="A486" t="str">
        <f>"=Agriculture Farm"</f>
        <v>=Agriculture Farm</v>
      </c>
      <c r="B486" t="s">
        <v>291</v>
      </c>
    </row>
    <row r="487" spans="1:3" x14ac:dyDescent="0.25">
      <c r="A487" t="s">
        <v>331</v>
      </c>
    </row>
    <row r="489" spans="1:3" x14ac:dyDescent="0.25">
      <c r="A489" t="s">
        <v>366</v>
      </c>
    </row>
    <row r="490" spans="1:3" x14ac:dyDescent="0.25">
      <c r="A490" s="26" t="s">
        <v>310</v>
      </c>
    </row>
    <row r="491" spans="1:3" x14ac:dyDescent="0.25">
      <c r="A491" t="s">
        <v>367</v>
      </c>
    </row>
    <row r="493" spans="1:3" x14ac:dyDescent="0.25">
      <c r="A493" t="s">
        <v>282</v>
      </c>
      <c r="B493" t="s">
        <v>286</v>
      </c>
      <c r="C493" t="s">
        <v>332</v>
      </c>
    </row>
    <row r="494" spans="1:3" x14ac:dyDescent="0.25">
      <c r="A494" t="str">
        <f>"=Resident"</f>
        <v>=Resident</v>
      </c>
      <c r="B494" t="str">
        <f>"=Primary Employee"</f>
        <v>=Primary Employee</v>
      </c>
      <c r="C494" t="s">
        <v>310</v>
      </c>
    </row>
    <row r="495" spans="1:3" x14ac:dyDescent="0.25">
      <c r="A495" t="s">
        <v>368</v>
      </c>
    </row>
    <row r="497" spans="1:5" x14ac:dyDescent="0.25">
      <c r="A497" t="s">
        <v>282</v>
      </c>
      <c r="B497" t="s">
        <v>286</v>
      </c>
      <c r="C497" t="s">
        <v>206</v>
      </c>
    </row>
    <row r="498" spans="1:5" x14ac:dyDescent="0.25">
      <c r="A498" t="str">
        <f>"=Resident"</f>
        <v>=Resident</v>
      </c>
      <c r="B498" t="str">
        <f>"=Primary Employee"</f>
        <v>=Primary Employee</v>
      </c>
      <c r="C498" t="s">
        <v>310</v>
      </c>
    </row>
    <row r="499" spans="1:5" x14ac:dyDescent="0.25">
      <c r="A499" t="s">
        <v>334</v>
      </c>
    </row>
    <row r="501" spans="1:5" x14ac:dyDescent="0.25">
      <c r="A501" t="s">
        <v>282</v>
      </c>
      <c r="B501" t="s">
        <v>286</v>
      </c>
      <c r="C501" t="s">
        <v>335</v>
      </c>
    </row>
    <row r="502" spans="1:5" x14ac:dyDescent="0.25">
      <c r="A502" t="str">
        <f>"=Resident"</f>
        <v>=Resident</v>
      </c>
      <c r="B502" t="str">
        <f>"=Primary Employee"</f>
        <v>=Primary Employee</v>
      </c>
      <c r="C502" t="s">
        <v>310</v>
      </c>
    </row>
    <row r="503" spans="1:5" x14ac:dyDescent="0.25">
      <c r="A503" t="s">
        <v>336</v>
      </c>
    </row>
    <row r="505" spans="1:5" x14ac:dyDescent="0.25">
      <c r="A505" t="s">
        <v>282</v>
      </c>
      <c r="B505" t="s">
        <v>286</v>
      </c>
      <c r="C505" t="s">
        <v>133</v>
      </c>
    </row>
    <row r="506" spans="1:5" x14ac:dyDescent="0.25">
      <c r="A506" t="str">
        <f>"=Resident"</f>
        <v>=Resident</v>
      </c>
      <c r="B506" t="str">
        <f>"=Primary Employee"</f>
        <v>=Primary Employee</v>
      </c>
      <c r="C506" t="s">
        <v>310</v>
      </c>
    </row>
    <row r="507" spans="1:5" x14ac:dyDescent="0.25">
      <c r="A507" t="s">
        <v>369</v>
      </c>
    </row>
    <row r="509" spans="1:5" x14ac:dyDescent="0.25">
      <c r="A509" t="s">
        <v>313</v>
      </c>
      <c r="B509" t="s">
        <v>313</v>
      </c>
      <c r="C509" t="s">
        <v>313</v>
      </c>
      <c r="D509" t="s">
        <v>313</v>
      </c>
      <c r="E509" t="s">
        <v>313</v>
      </c>
    </row>
    <row r="510" spans="1:5" x14ac:dyDescent="0.25">
      <c r="A510" t="s">
        <v>963</v>
      </c>
      <c r="B510" t="s">
        <v>964</v>
      </c>
      <c r="C510" t="s">
        <v>965</v>
      </c>
      <c r="D510" t="s">
        <v>966</v>
      </c>
      <c r="E510" t="s">
        <v>967</v>
      </c>
    </row>
    <row r="511" spans="1:5" x14ac:dyDescent="0.25">
      <c r="A511" t="s">
        <v>968</v>
      </c>
    </row>
    <row r="513" spans="1:3" x14ac:dyDescent="0.25">
      <c r="A513" t="s">
        <v>282</v>
      </c>
      <c r="B513" t="s">
        <v>286</v>
      </c>
      <c r="C513" t="s">
        <v>332</v>
      </c>
    </row>
    <row r="514" spans="1:3" x14ac:dyDescent="0.25">
      <c r="A514" t="str">
        <f>"=Non-Resident"</f>
        <v>=Non-Resident</v>
      </c>
      <c r="B514" t="str">
        <f>"=Primary Employee"</f>
        <v>=Primary Employee</v>
      </c>
      <c r="C514" t="s">
        <v>291</v>
      </c>
    </row>
    <row r="515" spans="1:3" x14ac:dyDescent="0.25">
      <c r="A515" t="s">
        <v>1071</v>
      </c>
    </row>
    <row r="517" spans="1:3" x14ac:dyDescent="0.25">
      <c r="A517" t="s">
        <v>282</v>
      </c>
      <c r="B517" t="s">
        <v>286</v>
      </c>
      <c r="C517" t="s">
        <v>206</v>
      </c>
    </row>
    <row r="518" spans="1:3" x14ac:dyDescent="0.25">
      <c r="A518" t="str">
        <f>"=Non-Resident"</f>
        <v>=Non-Resident</v>
      </c>
      <c r="B518" t="str">
        <f>"=Primary Employee"</f>
        <v>=Primary Employee</v>
      </c>
      <c r="C518" t="s">
        <v>310</v>
      </c>
    </row>
    <row r="519" spans="1:3" x14ac:dyDescent="0.25">
      <c r="A519" t="s">
        <v>1072</v>
      </c>
    </row>
    <row r="521" spans="1:3" x14ac:dyDescent="0.25">
      <c r="A521" t="s">
        <v>282</v>
      </c>
      <c r="B521" t="s">
        <v>286</v>
      </c>
      <c r="C521" t="s">
        <v>335</v>
      </c>
    </row>
    <row r="522" spans="1:3" x14ac:dyDescent="0.25">
      <c r="A522" t="str">
        <f>"=Non-Resident"</f>
        <v>=Non-Resident</v>
      </c>
      <c r="B522" t="str">
        <f>"=Primary Employee"</f>
        <v>=Primary Employee</v>
      </c>
      <c r="C522" t="s">
        <v>310</v>
      </c>
    </row>
    <row r="523" spans="1:3" x14ac:dyDescent="0.25">
      <c r="A523" t="s">
        <v>1036</v>
      </c>
    </row>
    <row r="525" spans="1:3" x14ac:dyDescent="0.25">
      <c r="A525" t="s">
        <v>282</v>
      </c>
      <c r="B525" t="s">
        <v>286</v>
      </c>
      <c r="C525" t="s">
        <v>133</v>
      </c>
    </row>
    <row r="526" spans="1:3" x14ac:dyDescent="0.25">
      <c r="A526" t="str">
        <f>"=Non-Resident"</f>
        <v>=Non-Resident</v>
      </c>
      <c r="B526" t="str">
        <f>"=Primary Employee"</f>
        <v>=Primary Employee</v>
      </c>
      <c r="C526" t="s">
        <v>291</v>
      </c>
    </row>
    <row r="527" spans="1:3" x14ac:dyDescent="0.25">
      <c r="A527" t="s">
        <v>1075</v>
      </c>
    </row>
    <row r="529" spans="1:2" x14ac:dyDescent="0.25">
      <c r="A529" t="s">
        <v>286</v>
      </c>
      <c r="B529" t="s">
        <v>332</v>
      </c>
    </row>
    <row r="530" spans="1:2" x14ac:dyDescent="0.25">
      <c r="A530" t="str">
        <f>"=Secondary Employee"</f>
        <v>=Secondary Employee</v>
      </c>
      <c r="B530" t="s">
        <v>291</v>
      </c>
    </row>
    <row r="531" spans="1:2" x14ac:dyDescent="0.25">
      <c r="A531" t="s">
        <v>1037</v>
      </c>
    </row>
    <row r="533" spans="1:2" x14ac:dyDescent="0.25">
      <c r="A533" t="s">
        <v>286</v>
      </c>
      <c r="B533" t="s">
        <v>206</v>
      </c>
    </row>
    <row r="534" spans="1:2" x14ac:dyDescent="0.25">
      <c r="A534" t="str">
        <f>"=Secondary Employee"</f>
        <v>=Secondary Employee</v>
      </c>
      <c r="B534" t="s">
        <v>291</v>
      </c>
    </row>
    <row r="535" spans="1:2" x14ac:dyDescent="0.25">
      <c r="A535" s="189" t="s">
        <v>1038</v>
      </c>
    </row>
    <row r="537" spans="1:2" x14ac:dyDescent="0.25">
      <c r="A537" t="s">
        <v>286</v>
      </c>
      <c r="B537" t="s">
        <v>335</v>
      </c>
    </row>
    <row r="538" spans="1:2" x14ac:dyDescent="0.25">
      <c r="A538" t="str">
        <f>"=Secondary Employee"</f>
        <v>=Secondary Employee</v>
      </c>
      <c r="B538" t="s">
        <v>291</v>
      </c>
    </row>
    <row r="539" spans="1:2" x14ac:dyDescent="0.25">
      <c r="A539" t="s">
        <v>1039</v>
      </c>
    </row>
    <row r="540" spans="1:2" x14ac:dyDescent="0.25">
      <c r="A540" s="189"/>
    </row>
    <row r="541" spans="1:2" x14ac:dyDescent="0.25">
      <c r="A541" t="s">
        <v>286</v>
      </c>
      <c r="B541" t="s">
        <v>133</v>
      </c>
    </row>
    <row r="542" spans="1:2" x14ac:dyDescent="0.25">
      <c r="A542" t="str">
        <f>"=Secondary Employee"</f>
        <v>=Secondary Employee</v>
      </c>
      <c r="B542" t="s">
        <v>291</v>
      </c>
    </row>
    <row r="543" spans="1:2" x14ac:dyDescent="0.25">
      <c r="A543" t="s">
        <v>1047</v>
      </c>
    </row>
    <row r="544" spans="1:2" x14ac:dyDescent="0.25">
      <c r="A544" s="189"/>
    </row>
    <row r="545" spans="1:2" x14ac:dyDescent="0.25">
      <c r="A545" t="s">
        <v>282</v>
      </c>
      <c r="B545" t="s">
        <v>212</v>
      </c>
    </row>
    <row r="546" spans="1:2" x14ac:dyDescent="0.25">
      <c r="A546" t="str">
        <f>"=Resident"</f>
        <v>=Resident</v>
      </c>
      <c r="B546" t="s">
        <v>310</v>
      </c>
    </row>
    <row r="547" spans="1:2" x14ac:dyDescent="0.25">
      <c r="A547" t="s">
        <v>1065</v>
      </c>
    </row>
    <row r="549" spans="1:2" x14ac:dyDescent="0.25">
      <c r="A549" t="s">
        <v>282</v>
      </c>
      <c r="B549" t="s">
        <v>212</v>
      </c>
    </row>
    <row r="550" spans="1:2" x14ac:dyDescent="0.25">
      <c r="A550" t="str">
        <f>"=Non-Resident"</f>
        <v>=Non-Resident</v>
      </c>
      <c r="B550" t="s">
        <v>291</v>
      </c>
    </row>
    <row r="551" spans="1:2" x14ac:dyDescent="0.25">
      <c r="A551" t="s">
        <v>1076</v>
      </c>
    </row>
    <row r="553" spans="1:2" x14ac:dyDescent="0.25">
      <c r="A553" t="s">
        <v>1084</v>
      </c>
    </row>
    <row r="554" spans="1:2" x14ac:dyDescent="0.25">
      <c r="A554" t="s">
        <v>310</v>
      </c>
    </row>
    <row r="555" spans="1:2" x14ac:dyDescent="0.25">
      <c r="A555" t="s">
        <v>1085</v>
      </c>
    </row>
    <row r="557" spans="1:2" x14ac:dyDescent="0.25">
      <c r="A557" t="s">
        <v>340</v>
      </c>
    </row>
    <row r="558" spans="1:2" x14ac:dyDescent="0.25">
      <c r="A558" t="str">
        <f>"=???????????????????????????????????????????????????*"</f>
        <v>=???????????????????????????????????????????????????*</v>
      </c>
    </row>
    <row r="559" spans="1:2" x14ac:dyDescent="0.25">
      <c r="A559" t="s">
        <v>1101</v>
      </c>
    </row>
    <row r="561" spans="1:37" x14ac:dyDescent="0.25">
      <c r="A561" t="s">
        <v>366</v>
      </c>
    </row>
    <row r="562" spans="1:37" x14ac:dyDescent="0.25">
      <c r="A562" t="str">
        <f>"=?????????????????????*"</f>
        <v>=?????????????????????*</v>
      </c>
    </row>
    <row r="563" spans="1:37" x14ac:dyDescent="0.25">
      <c r="A563" s="127" t="s">
        <v>1106</v>
      </c>
    </row>
    <row r="564" spans="1:37" x14ac:dyDescent="0.25">
      <c r="A564" s="127"/>
    </row>
    <row r="565" spans="1:37" x14ac:dyDescent="0.25">
      <c r="A565" t="s">
        <v>1114</v>
      </c>
    </row>
    <row r="566" spans="1:37" x14ac:dyDescent="0.25">
      <c r="A566" t="s">
        <v>1017</v>
      </c>
    </row>
    <row r="567" spans="1:37" x14ac:dyDescent="0.25">
      <c r="A567" s="127" t="s">
        <v>1115</v>
      </c>
    </row>
    <row r="569" spans="1:37" x14ac:dyDescent="0.25">
      <c r="A569" t="s">
        <v>370</v>
      </c>
      <c r="B569" t="s">
        <v>340</v>
      </c>
      <c r="C569" t="s">
        <v>282</v>
      </c>
      <c r="D569" t="s">
        <v>286</v>
      </c>
      <c r="E569" t="s">
        <v>366</v>
      </c>
      <c r="F569" t="s">
        <v>341</v>
      </c>
      <c r="G569" t="s">
        <v>342</v>
      </c>
      <c r="H569" t="s">
        <v>343</v>
      </c>
      <c r="I569" t="s">
        <v>344</v>
      </c>
      <c r="J569" t="s">
        <v>345</v>
      </c>
      <c r="K569" t="s">
        <v>346</v>
      </c>
      <c r="L569" t="s">
        <v>347</v>
      </c>
      <c r="M569" t="s">
        <v>348</v>
      </c>
      <c r="N569" t="s">
        <v>290</v>
      </c>
      <c r="O569" t="s">
        <v>1084</v>
      </c>
      <c r="P569" t="s">
        <v>125</v>
      </c>
      <c r="Q569" t="s">
        <v>203</v>
      </c>
      <c r="R569" t="s">
        <v>312</v>
      </c>
      <c r="S569" t="s">
        <v>313</v>
      </c>
      <c r="T569" t="s">
        <v>315</v>
      </c>
      <c r="U569" t="s">
        <v>294</v>
      </c>
      <c r="V569" t="s">
        <v>317</v>
      </c>
      <c r="W569" t="s">
        <v>296</v>
      </c>
      <c r="X569" t="s">
        <v>298</v>
      </c>
      <c r="Y569" t="s">
        <v>300</v>
      </c>
      <c r="Z569" t="s">
        <v>332</v>
      </c>
      <c r="AA569" t="s">
        <v>302</v>
      </c>
      <c r="AB569" t="s">
        <v>206</v>
      </c>
      <c r="AC569" t="s">
        <v>335</v>
      </c>
      <c r="AD569" t="s">
        <v>304</v>
      </c>
      <c r="AE569" t="s">
        <v>209</v>
      </c>
      <c r="AF569" t="s">
        <v>241</v>
      </c>
      <c r="AG569" t="s">
        <v>337</v>
      </c>
      <c r="AH569" t="s">
        <v>133</v>
      </c>
      <c r="AI569" t="s">
        <v>212</v>
      </c>
      <c r="AJ569" t="s">
        <v>246</v>
      </c>
      <c r="AK569" t="s">
        <v>132</v>
      </c>
    </row>
    <row r="620" spans="1:4" x14ac:dyDescent="0.25">
      <c r="A620" t="s">
        <v>371</v>
      </c>
    </row>
    <row r="621" spans="1:4" x14ac:dyDescent="0.25">
      <c r="A621" t="s">
        <v>195</v>
      </c>
      <c r="B621" t="s">
        <v>196</v>
      </c>
      <c r="C621" t="s">
        <v>197</v>
      </c>
      <c r="D621" t="s">
        <v>198</v>
      </c>
    </row>
    <row r="622" spans="1:4" x14ac:dyDescent="0.25">
      <c r="A622" t="s">
        <v>199</v>
      </c>
      <c r="B622">
        <v>643</v>
      </c>
      <c r="C622" t="s">
        <v>372</v>
      </c>
      <c r="D622" t="s">
        <v>349</v>
      </c>
    </row>
    <row r="623" spans="1:4" x14ac:dyDescent="0.25">
      <c r="A623" t="s">
        <v>201</v>
      </c>
      <c r="B623">
        <v>647</v>
      </c>
      <c r="C623" t="s">
        <v>373</v>
      </c>
      <c r="D623" t="s">
        <v>312</v>
      </c>
    </row>
    <row r="624" spans="1:4" x14ac:dyDescent="0.25">
      <c r="A624" t="s">
        <v>204</v>
      </c>
      <c r="B624">
        <v>651</v>
      </c>
      <c r="C624" t="s">
        <v>374</v>
      </c>
      <c r="D624" t="s">
        <v>317</v>
      </c>
    </row>
    <row r="625" spans="1:4" x14ac:dyDescent="0.25">
      <c r="A625" t="s">
        <v>207</v>
      </c>
      <c r="B625">
        <v>655</v>
      </c>
      <c r="C625" t="s">
        <v>375</v>
      </c>
      <c r="D625" t="s">
        <v>296</v>
      </c>
    </row>
    <row r="626" spans="1:4" x14ac:dyDescent="0.25">
      <c r="A626" t="s">
        <v>210</v>
      </c>
      <c r="B626">
        <v>659</v>
      </c>
      <c r="C626" t="s">
        <v>376</v>
      </c>
      <c r="D626" t="s">
        <v>298</v>
      </c>
    </row>
    <row r="627" spans="1:4" x14ac:dyDescent="0.25">
      <c r="A627" t="s">
        <v>213</v>
      </c>
      <c r="B627">
        <v>663</v>
      </c>
      <c r="C627" t="s">
        <v>377</v>
      </c>
      <c r="D627" t="s">
        <v>296</v>
      </c>
    </row>
    <row r="628" spans="1:4" x14ac:dyDescent="0.25">
      <c r="A628" t="s">
        <v>216</v>
      </c>
      <c r="B628">
        <v>667</v>
      </c>
      <c r="C628" t="s">
        <v>378</v>
      </c>
      <c r="D628" t="s">
        <v>298</v>
      </c>
    </row>
    <row r="629" spans="1:4" x14ac:dyDescent="0.25">
      <c r="A629" t="s">
        <v>218</v>
      </c>
      <c r="B629">
        <v>671</v>
      </c>
      <c r="C629" t="s">
        <v>219</v>
      </c>
      <c r="D629" t="s">
        <v>203</v>
      </c>
    </row>
    <row r="630" spans="1:4" x14ac:dyDescent="0.25">
      <c r="A630" t="s">
        <v>221</v>
      </c>
      <c r="B630">
        <v>675</v>
      </c>
      <c r="C630" t="s">
        <v>222</v>
      </c>
      <c r="D630" t="s">
        <v>125</v>
      </c>
    </row>
    <row r="642" spans="1:4" x14ac:dyDescent="0.25">
      <c r="A642" t="s">
        <v>379</v>
      </c>
      <c r="B642" t="s">
        <v>379</v>
      </c>
      <c r="C642" t="s">
        <v>379</v>
      </c>
      <c r="D642" t="s">
        <v>379</v>
      </c>
    </row>
    <row r="643" spans="1:4" x14ac:dyDescent="0.25">
      <c r="A643" t="s">
        <v>380</v>
      </c>
      <c r="B643" t="s">
        <v>381</v>
      </c>
      <c r="C643" t="s">
        <v>382</v>
      </c>
      <c r="D643" t="s">
        <v>383</v>
      </c>
    </row>
    <row r="644" spans="1:4" x14ac:dyDescent="0.25">
      <c r="A644" t="s">
        <v>971</v>
      </c>
    </row>
    <row r="646" spans="1:4" x14ac:dyDescent="0.25">
      <c r="A646" t="s">
        <v>38</v>
      </c>
      <c r="B646" t="s">
        <v>38</v>
      </c>
      <c r="C646" t="s">
        <v>38</v>
      </c>
    </row>
    <row r="647" spans="1:4" x14ac:dyDescent="0.25">
      <c r="A647" t="s">
        <v>384</v>
      </c>
      <c r="B647" t="s">
        <v>385</v>
      </c>
      <c r="C647" t="s">
        <v>386</v>
      </c>
    </row>
    <row r="648" spans="1:4" x14ac:dyDescent="0.25">
      <c r="A648" t="s">
        <v>387</v>
      </c>
    </row>
    <row r="650" spans="1:4" x14ac:dyDescent="0.25">
      <c r="A650" t="s">
        <v>388</v>
      </c>
      <c r="B650" t="s">
        <v>388</v>
      </c>
    </row>
    <row r="651" spans="1:4" x14ac:dyDescent="0.25">
      <c r="A651" t="s">
        <v>389</v>
      </c>
      <c r="B651" t="s">
        <v>390</v>
      </c>
    </row>
    <row r="652" spans="1:4" x14ac:dyDescent="0.25">
      <c r="A652" t="s">
        <v>391</v>
      </c>
    </row>
    <row r="654" spans="1:4" x14ac:dyDescent="0.25">
      <c r="A654" t="s">
        <v>388</v>
      </c>
      <c r="B654" t="s">
        <v>392</v>
      </c>
    </row>
    <row r="655" spans="1:4" x14ac:dyDescent="0.25">
      <c r="A655" t="str">
        <f>"=Owned"</f>
        <v>=Owned</v>
      </c>
      <c r="B655" t="s">
        <v>291</v>
      </c>
    </row>
    <row r="656" spans="1:4" x14ac:dyDescent="0.25">
      <c r="A656" t="s">
        <v>393</v>
      </c>
    </row>
    <row r="658" spans="1:2" x14ac:dyDescent="0.25">
      <c r="A658" t="s">
        <v>388</v>
      </c>
      <c r="B658" t="s">
        <v>394</v>
      </c>
    </row>
    <row r="659" spans="1:2" x14ac:dyDescent="0.25">
      <c r="A659" t="str">
        <f>"=Owned"</f>
        <v>=Owned</v>
      </c>
      <c r="B659" t="s">
        <v>310</v>
      </c>
    </row>
    <row r="660" spans="1:2" x14ac:dyDescent="0.25">
      <c r="A660" t="s">
        <v>1116</v>
      </c>
    </row>
    <row r="662" spans="1:2" x14ac:dyDescent="0.25">
      <c r="A662" t="s">
        <v>388</v>
      </c>
      <c r="B662" t="s">
        <v>392</v>
      </c>
    </row>
    <row r="663" spans="1:2" x14ac:dyDescent="0.25">
      <c r="A663" t="str">
        <f>"=Hired"</f>
        <v>=Hired</v>
      </c>
      <c r="B663" t="s">
        <v>310</v>
      </c>
    </row>
    <row r="664" spans="1:2" x14ac:dyDescent="0.25">
      <c r="A664" t="s">
        <v>1117</v>
      </c>
    </row>
    <row r="666" spans="1:2" x14ac:dyDescent="0.25">
      <c r="A666" t="s">
        <v>388</v>
      </c>
      <c r="B666" t="s">
        <v>394</v>
      </c>
    </row>
    <row r="667" spans="1:2" x14ac:dyDescent="0.25">
      <c r="A667" t="str">
        <f>"=Hired"</f>
        <v>=Hired</v>
      </c>
      <c r="B667" t="s">
        <v>291</v>
      </c>
    </row>
    <row r="668" spans="1:2" x14ac:dyDescent="0.25">
      <c r="A668" t="s">
        <v>395</v>
      </c>
    </row>
    <row r="670" spans="1:2" x14ac:dyDescent="0.25">
      <c r="A670" t="s">
        <v>397</v>
      </c>
    </row>
    <row r="671" spans="1:2" x14ac:dyDescent="0.25">
      <c r="A671" t="str">
        <f>"=???????????????????????????????????????????????????*"</f>
        <v>=???????????????????????????????????????????????????*</v>
      </c>
    </row>
    <row r="672" spans="1:2" x14ac:dyDescent="0.25">
      <c r="A672" s="127" t="s">
        <v>1105</v>
      </c>
    </row>
    <row r="673" spans="1:9" x14ac:dyDescent="0.25">
      <c r="A673" s="127"/>
    </row>
    <row r="674" spans="1:9" x14ac:dyDescent="0.25">
      <c r="A674" s="127" t="s">
        <v>396</v>
      </c>
    </row>
    <row r="675" spans="1:9" x14ac:dyDescent="0.25">
      <c r="A675" s="127" t="str">
        <f>"=?????????????????????*"</f>
        <v>=?????????????????????*</v>
      </c>
    </row>
    <row r="676" spans="1:9" x14ac:dyDescent="0.25">
      <c r="A676" s="127" t="s">
        <v>1110</v>
      </c>
    </row>
    <row r="678" spans="1:9" x14ac:dyDescent="0.25">
      <c r="A678" t="s">
        <v>370</v>
      </c>
      <c r="B678" t="s">
        <v>379</v>
      </c>
      <c r="C678" t="s">
        <v>396</v>
      </c>
      <c r="D678" t="s">
        <v>397</v>
      </c>
      <c r="E678" t="s">
        <v>38</v>
      </c>
      <c r="F678" t="s">
        <v>398</v>
      </c>
      <c r="G678" t="s">
        <v>388</v>
      </c>
      <c r="H678" t="s">
        <v>392</v>
      </c>
      <c r="I678" t="s">
        <v>394</v>
      </c>
    </row>
    <row r="696" spans="1:4" x14ac:dyDescent="0.25">
      <c r="A696" s="26"/>
    </row>
    <row r="699" spans="1:4" x14ac:dyDescent="0.25">
      <c r="A699" t="s">
        <v>399</v>
      </c>
    </row>
    <row r="700" spans="1:4" x14ac:dyDescent="0.25">
      <c r="A700" t="s">
        <v>195</v>
      </c>
      <c r="B700" t="s">
        <v>196</v>
      </c>
      <c r="C700" t="s">
        <v>197</v>
      </c>
      <c r="D700" t="s">
        <v>198</v>
      </c>
    </row>
    <row r="701" spans="1:4" x14ac:dyDescent="0.25">
      <c r="A701" t="s">
        <v>199</v>
      </c>
      <c r="B701">
        <v>718</v>
      </c>
      <c r="C701" t="s">
        <v>972</v>
      </c>
      <c r="D701" t="s">
        <v>312</v>
      </c>
    </row>
    <row r="702" spans="1:4" x14ac:dyDescent="0.25">
      <c r="A702" t="s">
        <v>201</v>
      </c>
      <c r="B702">
        <v>723</v>
      </c>
      <c r="C702" t="s">
        <v>973</v>
      </c>
      <c r="D702" t="s">
        <v>294</v>
      </c>
    </row>
    <row r="703" spans="1:4" x14ac:dyDescent="0.25">
      <c r="A703" t="s">
        <v>204</v>
      </c>
      <c r="B703">
        <v>727</v>
      </c>
      <c r="C703" t="s">
        <v>974</v>
      </c>
      <c r="D703" t="s">
        <v>298</v>
      </c>
    </row>
    <row r="704" spans="1:4" x14ac:dyDescent="0.25">
      <c r="A704" t="s">
        <v>207</v>
      </c>
      <c r="B704">
        <v>731</v>
      </c>
      <c r="C704" t="s">
        <v>975</v>
      </c>
      <c r="D704" t="s">
        <v>300</v>
      </c>
    </row>
    <row r="705" spans="1:4" x14ac:dyDescent="0.25">
      <c r="A705" t="s">
        <v>210</v>
      </c>
      <c r="B705">
        <v>735</v>
      </c>
      <c r="C705" t="s">
        <v>976</v>
      </c>
      <c r="D705" t="s">
        <v>332</v>
      </c>
    </row>
    <row r="706" spans="1:4" x14ac:dyDescent="0.25">
      <c r="A706" t="s">
        <v>213</v>
      </c>
      <c r="B706">
        <v>739</v>
      </c>
      <c r="C706" t="s">
        <v>1100</v>
      </c>
      <c r="D706" t="s">
        <v>349</v>
      </c>
    </row>
    <row r="716" spans="1:4" x14ac:dyDescent="0.25">
      <c r="A716" t="s">
        <v>400</v>
      </c>
      <c r="B716" t="s">
        <v>400</v>
      </c>
    </row>
    <row r="717" spans="1:4" x14ac:dyDescent="0.25">
      <c r="A717" t="s">
        <v>401</v>
      </c>
    </row>
    <row r="718" spans="1:4" x14ac:dyDescent="0.25">
      <c r="B718" t="str">
        <f ca="1">CONCATENATE("&gt;",YEAR(TODAY()))</f>
        <v>&gt;2016</v>
      </c>
    </row>
    <row r="719" spans="1:4" x14ac:dyDescent="0.25">
      <c r="A719" t="s">
        <v>402</v>
      </c>
    </row>
    <row r="721" spans="1:2" x14ac:dyDescent="0.25">
      <c r="A721" t="s">
        <v>403</v>
      </c>
      <c r="B721" t="s">
        <v>403</v>
      </c>
    </row>
    <row r="722" spans="1:2" x14ac:dyDescent="0.25">
      <c r="A722" t="s">
        <v>401</v>
      </c>
    </row>
    <row r="723" spans="1:2" x14ac:dyDescent="0.25">
      <c r="B723" t="str">
        <f ca="1">CONCATENATE("&gt;",YEAR(TODAY()))</f>
        <v>&gt;2016</v>
      </c>
    </row>
    <row r="724" spans="1:2" x14ac:dyDescent="0.25">
      <c r="A724" t="s">
        <v>404</v>
      </c>
    </row>
    <row r="726" spans="1:2" x14ac:dyDescent="0.25">
      <c r="A726" t="s">
        <v>125</v>
      </c>
    </row>
    <row r="727" spans="1:2" x14ac:dyDescent="0.25">
      <c r="A727" t="s">
        <v>291</v>
      </c>
    </row>
    <row r="728" spans="1:2" x14ac:dyDescent="0.25">
      <c r="A728" t="s">
        <v>405</v>
      </c>
    </row>
    <row r="730" spans="1:2" x14ac:dyDescent="0.25">
      <c r="A730" t="s">
        <v>203</v>
      </c>
    </row>
    <row r="731" spans="1:2" x14ac:dyDescent="0.25">
      <c r="A731" t="s">
        <v>291</v>
      </c>
    </row>
    <row r="732" spans="1:2" x14ac:dyDescent="0.25">
      <c r="A732" t="s">
        <v>406</v>
      </c>
    </row>
    <row r="734" spans="1:2" x14ac:dyDescent="0.25">
      <c r="A734" t="s">
        <v>312</v>
      </c>
    </row>
    <row r="735" spans="1:2" x14ac:dyDescent="0.25">
      <c r="A735" t="s">
        <v>310</v>
      </c>
    </row>
    <row r="736" spans="1:2" x14ac:dyDescent="0.25">
      <c r="A736" s="127" t="s">
        <v>1118</v>
      </c>
    </row>
    <row r="738" spans="1:11" x14ac:dyDescent="0.25">
      <c r="A738" t="s">
        <v>340</v>
      </c>
    </row>
    <row r="739" spans="1:11" x14ac:dyDescent="0.25">
      <c r="A739" t="str">
        <f>"=???????????????????????????????????????????????????*"</f>
        <v>=???????????????????????????????????????????????????*</v>
      </c>
    </row>
    <row r="740" spans="1:11" x14ac:dyDescent="0.25">
      <c r="A740" t="s">
        <v>1101</v>
      </c>
    </row>
    <row r="742" spans="1:11" x14ac:dyDescent="0.25">
      <c r="A742" t="s">
        <v>407</v>
      </c>
      <c r="B742" t="s">
        <v>340</v>
      </c>
      <c r="C742" t="s">
        <v>409</v>
      </c>
      <c r="D742" t="s">
        <v>410</v>
      </c>
      <c r="E742" t="s">
        <v>400</v>
      </c>
      <c r="F742" t="s">
        <v>403</v>
      </c>
      <c r="G742" t="s">
        <v>411</v>
      </c>
      <c r="H742" t="s">
        <v>412</v>
      </c>
      <c r="I742" t="s">
        <v>125</v>
      </c>
      <c r="J742" t="s">
        <v>203</v>
      </c>
      <c r="K742" t="s">
        <v>312</v>
      </c>
    </row>
    <row r="744" spans="1:11" x14ac:dyDescent="0.25">
      <c r="A744" s="189"/>
    </row>
    <row r="749" spans="1:11" x14ac:dyDescent="0.25">
      <c r="A749" s="189"/>
    </row>
    <row r="753" spans="1:4" x14ac:dyDescent="0.25">
      <c r="A753" s="189"/>
    </row>
    <row r="760" spans="1:4" x14ac:dyDescent="0.25">
      <c r="A760" t="s">
        <v>413</v>
      </c>
    </row>
    <row r="761" spans="1:4" x14ac:dyDescent="0.25">
      <c r="A761" t="s">
        <v>195</v>
      </c>
      <c r="B761" t="s">
        <v>196</v>
      </c>
      <c r="C761" t="s">
        <v>197</v>
      </c>
      <c r="D761" t="s">
        <v>198</v>
      </c>
    </row>
    <row r="762" spans="1:4" x14ac:dyDescent="0.25">
      <c r="A762" t="s">
        <v>199</v>
      </c>
      <c r="B762">
        <v>830</v>
      </c>
      <c r="C762" t="s">
        <v>414</v>
      </c>
      <c r="D762" t="s">
        <v>125</v>
      </c>
    </row>
    <row r="763" spans="1:4" x14ac:dyDescent="0.25">
      <c r="A763" t="s">
        <v>201</v>
      </c>
      <c r="B763">
        <v>835</v>
      </c>
      <c r="C763" t="s">
        <v>977</v>
      </c>
      <c r="D763" t="s">
        <v>203</v>
      </c>
    </row>
    <row r="764" spans="1:4" x14ac:dyDescent="0.25">
      <c r="A764" t="s">
        <v>204</v>
      </c>
      <c r="B764">
        <v>839</v>
      </c>
      <c r="C764" t="s">
        <v>978</v>
      </c>
      <c r="D764" t="s">
        <v>312</v>
      </c>
    </row>
    <row r="765" spans="1:4" x14ac:dyDescent="0.25">
      <c r="A765" t="s">
        <v>207</v>
      </c>
      <c r="B765">
        <v>843</v>
      </c>
      <c r="C765" t="s">
        <v>979</v>
      </c>
      <c r="D765" t="s">
        <v>294</v>
      </c>
    </row>
    <row r="766" spans="1:4" x14ac:dyDescent="0.25">
      <c r="A766" t="s">
        <v>210</v>
      </c>
      <c r="B766">
        <v>847</v>
      </c>
      <c r="C766" t="s">
        <v>980</v>
      </c>
      <c r="D766" t="s">
        <v>304</v>
      </c>
    </row>
    <row r="767" spans="1:4" x14ac:dyDescent="0.25">
      <c r="A767" t="s">
        <v>213</v>
      </c>
      <c r="B767">
        <v>851</v>
      </c>
      <c r="C767" t="s">
        <v>981</v>
      </c>
      <c r="D767" t="s">
        <v>133</v>
      </c>
    </row>
    <row r="768" spans="1:4" x14ac:dyDescent="0.25">
      <c r="A768" t="s">
        <v>216</v>
      </c>
      <c r="B768">
        <v>855</v>
      </c>
      <c r="C768" t="s">
        <v>982</v>
      </c>
      <c r="D768" t="s">
        <v>246</v>
      </c>
    </row>
    <row r="769" spans="1:4" x14ac:dyDescent="0.25">
      <c r="A769" t="s">
        <v>218</v>
      </c>
      <c r="B769">
        <v>859</v>
      </c>
      <c r="C769" t="s">
        <v>983</v>
      </c>
      <c r="D769" t="s">
        <v>135</v>
      </c>
    </row>
    <row r="770" spans="1:4" x14ac:dyDescent="0.25">
      <c r="A770" t="s">
        <v>221</v>
      </c>
      <c r="B770">
        <v>863</v>
      </c>
      <c r="C770" t="s">
        <v>984</v>
      </c>
      <c r="D770" t="s">
        <v>133</v>
      </c>
    </row>
    <row r="771" spans="1:4" x14ac:dyDescent="0.25">
      <c r="A771" t="s">
        <v>224</v>
      </c>
      <c r="B771">
        <v>867</v>
      </c>
      <c r="C771" t="s">
        <v>985</v>
      </c>
      <c r="D771" t="s">
        <v>246</v>
      </c>
    </row>
    <row r="772" spans="1:4" x14ac:dyDescent="0.25">
      <c r="A772" t="s">
        <v>227</v>
      </c>
      <c r="B772">
        <v>871</v>
      </c>
      <c r="C772" t="s">
        <v>986</v>
      </c>
      <c r="D772" t="s">
        <v>135</v>
      </c>
    </row>
    <row r="773" spans="1:4" x14ac:dyDescent="0.25">
      <c r="A773" t="s">
        <v>230</v>
      </c>
      <c r="B773">
        <v>875</v>
      </c>
      <c r="C773" t="s">
        <v>987</v>
      </c>
      <c r="D773" t="s">
        <v>246</v>
      </c>
    </row>
    <row r="774" spans="1:4" x14ac:dyDescent="0.25">
      <c r="A774" t="s">
        <v>233</v>
      </c>
      <c r="B774">
        <v>879</v>
      </c>
      <c r="C774" t="s">
        <v>988</v>
      </c>
      <c r="D774" t="s">
        <v>135</v>
      </c>
    </row>
    <row r="775" spans="1:4" x14ac:dyDescent="0.25">
      <c r="A775" t="s">
        <v>236</v>
      </c>
      <c r="B775">
        <v>883</v>
      </c>
      <c r="C775" t="s">
        <v>989</v>
      </c>
      <c r="D775" t="s">
        <v>133</v>
      </c>
    </row>
    <row r="776" spans="1:4" x14ac:dyDescent="0.25">
      <c r="A776" t="s">
        <v>239</v>
      </c>
      <c r="B776">
        <v>887</v>
      </c>
      <c r="C776" t="s">
        <v>990</v>
      </c>
      <c r="D776" t="s">
        <v>246</v>
      </c>
    </row>
    <row r="777" spans="1:4" x14ac:dyDescent="0.25">
      <c r="A777" t="s">
        <v>242</v>
      </c>
      <c r="B777">
        <v>891</v>
      </c>
      <c r="C777" t="s">
        <v>991</v>
      </c>
      <c r="D777" t="s">
        <v>135</v>
      </c>
    </row>
    <row r="778" spans="1:4" x14ac:dyDescent="0.25">
      <c r="A778" t="s">
        <v>244</v>
      </c>
      <c r="B778">
        <v>895</v>
      </c>
      <c r="C778" t="s">
        <v>992</v>
      </c>
      <c r="D778" t="s">
        <v>133</v>
      </c>
    </row>
    <row r="779" spans="1:4" x14ac:dyDescent="0.25">
      <c r="A779" t="s">
        <v>247</v>
      </c>
      <c r="B779">
        <v>899</v>
      </c>
      <c r="C779" t="s">
        <v>993</v>
      </c>
      <c r="D779" t="s">
        <v>133</v>
      </c>
    </row>
    <row r="780" spans="1:4" x14ac:dyDescent="0.25">
      <c r="A780" t="s">
        <v>249</v>
      </c>
      <c r="B780">
        <v>903</v>
      </c>
      <c r="C780" t="s">
        <v>994</v>
      </c>
      <c r="D780" t="s">
        <v>246</v>
      </c>
    </row>
    <row r="781" spans="1:4" x14ac:dyDescent="0.25">
      <c r="A781" t="s">
        <v>251</v>
      </c>
      <c r="B781">
        <v>907</v>
      </c>
      <c r="C781" t="s">
        <v>995</v>
      </c>
      <c r="D781" t="s">
        <v>135</v>
      </c>
    </row>
    <row r="782" spans="1:4" x14ac:dyDescent="0.25">
      <c r="A782" t="s">
        <v>253</v>
      </c>
      <c r="B782">
        <v>911</v>
      </c>
      <c r="C782" t="s">
        <v>996</v>
      </c>
      <c r="D782" t="s">
        <v>215</v>
      </c>
    </row>
    <row r="783" spans="1:4" x14ac:dyDescent="0.25">
      <c r="A783" t="s">
        <v>255</v>
      </c>
      <c r="B783">
        <v>915</v>
      </c>
      <c r="C783" t="s">
        <v>997</v>
      </c>
      <c r="D783" t="s">
        <v>220</v>
      </c>
    </row>
    <row r="784" spans="1:4" x14ac:dyDescent="0.25">
      <c r="A784" t="s">
        <v>257</v>
      </c>
      <c r="B784">
        <v>919</v>
      </c>
      <c r="C784" t="s">
        <v>998</v>
      </c>
      <c r="D784" t="s">
        <v>273</v>
      </c>
    </row>
    <row r="785" spans="1:4" x14ac:dyDescent="0.25">
      <c r="A785" t="s">
        <v>259</v>
      </c>
      <c r="B785">
        <v>923</v>
      </c>
      <c r="C785" t="s">
        <v>999</v>
      </c>
      <c r="D785" t="s">
        <v>223</v>
      </c>
    </row>
    <row r="786" spans="1:4" x14ac:dyDescent="0.25">
      <c r="A786" t="s">
        <v>261</v>
      </c>
      <c r="B786">
        <v>927</v>
      </c>
      <c r="C786" t="s">
        <v>1000</v>
      </c>
      <c r="D786" t="s">
        <v>279</v>
      </c>
    </row>
    <row r="787" spans="1:4" x14ac:dyDescent="0.25">
      <c r="A787" t="s">
        <v>263</v>
      </c>
      <c r="B787">
        <v>931</v>
      </c>
      <c r="C787" t="s">
        <v>1001</v>
      </c>
      <c r="D787" t="s">
        <v>351</v>
      </c>
    </row>
    <row r="788" spans="1:4" x14ac:dyDescent="0.25">
      <c r="A788" t="s">
        <v>265</v>
      </c>
      <c r="B788">
        <v>935</v>
      </c>
      <c r="C788" t="s">
        <v>1002</v>
      </c>
      <c r="D788" t="s">
        <v>232</v>
      </c>
    </row>
    <row r="789" spans="1:4" x14ac:dyDescent="0.25">
      <c r="A789" t="s">
        <v>267</v>
      </c>
      <c r="B789">
        <v>939</v>
      </c>
      <c r="C789" t="s">
        <v>1003</v>
      </c>
      <c r="D789" t="s">
        <v>352</v>
      </c>
    </row>
    <row r="790" spans="1:4" x14ac:dyDescent="0.25">
      <c r="A790" t="s">
        <v>269</v>
      </c>
      <c r="B790">
        <v>943</v>
      </c>
      <c r="C790" t="s">
        <v>1004</v>
      </c>
      <c r="D790" t="s">
        <v>353</v>
      </c>
    </row>
    <row r="791" spans="1:4" x14ac:dyDescent="0.25">
      <c r="A791" t="s">
        <v>271</v>
      </c>
      <c r="B791">
        <v>947</v>
      </c>
      <c r="C791" t="s">
        <v>1005</v>
      </c>
      <c r="D791" t="s">
        <v>415</v>
      </c>
    </row>
    <row r="792" spans="1:4" x14ac:dyDescent="0.25">
      <c r="A792" t="s">
        <v>274</v>
      </c>
      <c r="B792">
        <v>951</v>
      </c>
      <c r="C792" t="s">
        <v>1006</v>
      </c>
      <c r="D792" t="s">
        <v>416</v>
      </c>
    </row>
    <row r="793" spans="1:4" x14ac:dyDescent="0.25">
      <c r="A793" t="s">
        <v>277</v>
      </c>
      <c r="B793">
        <v>955</v>
      </c>
      <c r="C793" t="s">
        <v>1007</v>
      </c>
      <c r="D793" t="s">
        <v>276</v>
      </c>
    </row>
    <row r="794" spans="1:4" x14ac:dyDescent="0.25">
      <c r="A794" t="s">
        <v>280</v>
      </c>
      <c r="B794">
        <v>959</v>
      </c>
      <c r="C794" t="s">
        <v>1008</v>
      </c>
      <c r="D794" t="s">
        <v>226</v>
      </c>
    </row>
    <row r="795" spans="1:4" x14ac:dyDescent="0.25">
      <c r="A795" t="s">
        <v>355</v>
      </c>
      <c r="B795">
        <v>963</v>
      </c>
      <c r="C795" t="s">
        <v>1009</v>
      </c>
      <c r="D795" t="s">
        <v>229</v>
      </c>
    </row>
    <row r="796" spans="1:4" x14ac:dyDescent="0.25">
      <c r="A796" t="s">
        <v>357</v>
      </c>
      <c r="B796">
        <v>967</v>
      </c>
      <c r="C796" t="s">
        <v>1010</v>
      </c>
      <c r="D796" t="s">
        <v>235</v>
      </c>
    </row>
    <row r="797" spans="1:4" x14ac:dyDescent="0.25">
      <c r="A797" t="s">
        <v>359</v>
      </c>
      <c r="B797">
        <v>971</v>
      </c>
      <c r="C797" t="s">
        <v>1011</v>
      </c>
      <c r="D797" t="s">
        <v>212</v>
      </c>
    </row>
    <row r="798" spans="1:4" x14ac:dyDescent="0.25">
      <c r="A798" t="s">
        <v>456</v>
      </c>
      <c r="B798">
        <v>975</v>
      </c>
      <c r="C798" t="s">
        <v>1015</v>
      </c>
      <c r="D798" t="s">
        <v>276</v>
      </c>
    </row>
    <row r="799" spans="1:4" x14ac:dyDescent="0.25">
      <c r="A799" t="s">
        <v>970</v>
      </c>
      <c r="B799">
        <v>979</v>
      </c>
      <c r="C799" t="s">
        <v>1048</v>
      </c>
      <c r="D799" t="s">
        <v>226</v>
      </c>
    </row>
    <row r="800" spans="1:4" x14ac:dyDescent="0.25">
      <c r="A800" t="s">
        <v>1028</v>
      </c>
      <c r="B800">
        <v>983</v>
      </c>
      <c r="C800" t="s">
        <v>1049</v>
      </c>
      <c r="D800" t="s">
        <v>229</v>
      </c>
    </row>
    <row r="801" spans="1:4" x14ac:dyDescent="0.25">
      <c r="A801" t="s">
        <v>1030</v>
      </c>
      <c r="B801">
        <v>987</v>
      </c>
      <c r="C801" t="s">
        <v>1050</v>
      </c>
      <c r="D801" t="s">
        <v>235</v>
      </c>
    </row>
    <row r="802" spans="1:4" x14ac:dyDescent="0.25">
      <c r="A802" t="s">
        <v>1032</v>
      </c>
      <c r="B802">
        <v>991</v>
      </c>
      <c r="C802" t="s">
        <v>1051</v>
      </c>
      <c r="D802" t="s">
        <v>276</v>
      </c>
    </row>
    <row r="803" spans="1:4" x14ac:dyDescent="0.25">
      <c r="A803" t="s">
        <v>1034</v>
      </c>
      <c r="B803">
        <v>995</v>
      </c>
      <c r="C803" t="s">
        <v>1052</v>
      </c>
      <c r="D803" t="s">
        <v>226</v>
      </c>
    </row>
    <row r="804" spans="1:4" x14ac:dyDescent="0.25">
      <c r="A804" t="s">
        <v>1041</v>
      </c>
      <c r="B804">
        <v>999</v>
      </c>
      <c r="C804" t="s">
        <v>1053</v>
      </c>
      <c r="D804" t="s">
        <v>229</v>
      </c>
    </row>
    <row r="805" spans="1:4" x14ac:dyDescent="0.25">
      <c r="A805" t="s">
        <v>1043</v>
      </c>
      <c r="B805">
        <v>1003</v>
      </c>
      <c r="C805" t="s">
        <v>1054</v>
      </c>
      <c r="D805" t="s">
        <v>235</v>
      </c>
    </row>
    <row r="806" spans="1:4" x14ac:dyDescent="0.25">
      <c r="A806" t="s">
        <v>1045</v>
      </c>
      <c r="B806">
        <v>1007</v>
      </c>
      <c r="C806" t="s">
        <v>1057</v>
      </c>
      <c r="D806" t="s">
        <v>238</v>
      </c>
    </row>
    <row r="807" spans="1:4" x14ac:dyDescent="0.25">
      <c r="A807" t="s">
        <v>1058</v>
      </c>
      <c r="B807">
        <v>1011</v>
      </c>
      <c r="C807" t="s">
        <v>1059</v>
      </c>
      <c r="D807" t="s">
        <v>238</v>
      </c>
    </row>
    <row r="808" spans="1:4" x14ac:dyDescent="0.25">
      <c r="A808" t="s">
        <v>1064</v>
      </c>
      <c r="B808">
        <v>1015</v>
      </c>
      <c r="C808" t="s">
        <v>1088</v>
      </c>
      <c r="D808" t="s">
        <v>209</v>
      </c>
    </row>
    <row r="809" spans="1:4" x14ac:dyDescent="0.25">
      <c r="A809" t="s">
        <v>1067</v>
      </c>
      <c r="B809">
        <v>1019</v>
      </c>
      <c r="C809" t="s">
        <v>1102</v>
      </c>
      <c r="D809" t="s">
        <v>349</v>
      </c>
    </row>
    <row r="810" spans="1:4" x14ac:dyDescent="0.25">
      <c r="A810" t="s">
        <v>1089</v>
      </c>
      <c r="B810">
        <v>1023</v>
      </c>
      <c r="C810" t="s">
        <v>1090</v>
      </c>
      <c r="D810" t="s">
        <v>416</v>
      </c>
    </row>
    <row r="829" spans="1:12" x14ac:dyDescent="0.25">
      <c r="A829" t="s">
        <v>101</v>
      </c>
      <c r="B829" t="s">
        <v>101</v>
      </c>
      <c r="C829" t="s">
        <v>101</v>
      </c>
      <c r="D829" t="s">
        <v>101</v>
      </c>
      <c r="E829" t="s">
        <v>101</v>
      </c>
      <c r="F829" t="s">
        <v>101</v>
      </c>
      <c r="G829" t="s">
        <v>101</v>
      </c>
      <c r="H829" t="s">
        <v>101</v>
      </c>
      <c r="I829" t="s">
        <v>101</v>
      </c>
      <c r="J829" t="s">
        <v>101</v>
      </c>
      <c r="K829" t="s">
        <v>101</v>
      </c>
      <c r="L829" t="s">
        <v>101</v>
      </c>
    </row>
    <row r="830" spans="1:12" x14ac:dyDescent="0.25">
      <c r="A830" t="s">
        <v>417</v>
      </c>
      <c r="B830" t="s">
        <v>418</v>
      </c>
      <c r="C830" t="s">
        <v>419</v>
      </c>
      <c r="D830" t="s">
        <v>420</v>
      </c>
      <c r="E830" t="s">
        <v>421</v>
      </c>
      <c r="F830" t="s">
        <v>422</v>
      </c>
      <c r="G830" t="s">
        <v>423</v>
      </c>
      <c r="H830" t="s">
        <v>424</v>
      </c>
      <c r="I830" t="s">
        <v>425</v>
      </c>
      <c r="J830" t="s">
        <v>426</v>
      </c>
      <c r="K830" t="s">
        <v>427</v>
      </c>
      <c r="L830" t="s">
        <v>428</v>
      </c>
    </row>
    <row r="831" spans="1:12" x14ac:dyDescent="0.25">
      <c r="A831" t="s">
        <v>1023</v>
      </c>
    </row>
    <row r="833" spans="1:2" x14ac:dyDescent="0.25">
      <c r="A833" t="s">
        <v>429</v>
      </c>
      <c r="B833" t="s">
        <v>429</v>
      </c>
    </row>
    <row r="834" spans="1:2" x14ac:dyDescent="0.25">
      <c r="A834" t="s">
        <v>430</v>
      </c>
    </row>
    <row r="835" spans="1:2" x14ac:dyDescent="0.25">
      <c r="B835" t="str">
        <f ca="1">CONCATENATE("&gt;",YEAR(TODAY()))</f>
        <v>&gt;2016</v>
      </c>
    </row>
    <row r="836" spans="1:2" x14ac:dyDescent="0.25">
      <c r="A836" s="127" t="s">
        <v>1070</v>
      </c>
    </row>
    <row r="838" spans="1:2" x14ac:dyDescent="0.25">
      <c r="A838" t="s">
        <v>282</v>
      </c>
      <c r="B838" t="s">
        <v>282</v>
      </c>
    </row>
    <row r="839" spans="1:2" x14ac:dyDescent="0.25">
      <c r="A839" t="s">
        <v>283</v>
      </c>
      <c r="B839" t="s">
        <v>284</v>
      </c>
    </row>
    <row r="840" spans="1:2" x14ac:dyDescent="0.25">
      <c r="A840" s="127" t="s">
        <v>1069</v>
      </c>
    </row>
    <row r="842" spans="1:2" x14ac:dyDescent="0.25">
      <c r="A842" t="s">
        <v>286</v>
      </c>
      <c r="B842" t="s">
        <v>286</v>
      </c>
    </row>
    <row r="843" spans="1:2" x14ac:dyDescent="0.25">
      <c r="A843" t="s">
        <v>287</v>
      </c>
      <c r="B843" t="s">
        <v>288</v>
      </c>
    </row>
    <row r="844" spans="1:2" x14ac:dyDescent="0.25">
      <c r="A844" t="s">
        <v>431</v>
      </c>
    </row>
    <row r="846" spans="1:2" x14ac:dyDescent="0.25">
      <c r="A846" t="s">
        <v>290</v>
      </c>
    </row>
    <row r="847" spans="1:2" x14ac:dyDescent="0.25">
      <c r="A847" t="s">
        <v>291</v>
      </c>
    </row>
    <row r="848" spans="1:2" x14ac:dyDescent="0.25">
      <c r="A848" t="s">
        <v>292</v>
      </c>
    </row>
    <row r="850" spans="1:2" x14ac:dyDescent="0.25">
      <c r="A850" t="s">
        <v>312</v>
      </c>
      <c r="B850" t="s">
        <v>313</v>
      </c>
    </row>
    <row r="851" spans="1:2" x14ac:dyDescent="0.25">
      <c r="A851" t="s">
        <v>310</v>
      </c>
      <c r="B851" t="str">
        <f>"=Benefit not given"</f>
        <v>=Benefit not given</v>
      </c>
    </row>
    <row r="852" spans="1:2" x14ac:dyDescent="0.25">
      <c r="A852" t="s">
        <v>432</v>
      </c>
    </row>
    <row r="854" spans="1:2" x14ac:dyDescent="0.25">
      <c r="A854" t="s">
        <v>313</v>
      </c>
      <c r="B854" t="s">
        <v>315</v>
      </c>
    </row>
    <row r="855" spans="1:2" x14ac:dyDescent="0.25">
      <c r="A855" t="str">
        <f>"=Benefit not given"</f>
        <v>=Benefit not given</v>
      </c>
      <c r="B855" t="s">
        <v>291</v>
      </c>
    </row>
    <row r="856" spans="1:2" x14ac:dyDescent="0.25">
      <c r="A856" t="s">
        <v>433</v>
      </c>
    </row>
    <row r="858" spans="1:2" x14ac:dyDescent="0.25">
      <c r="A858" t="s">
        <v>313</v>
      </c>
      <c r="B858" t="s">
        <v>317</v>
      </c>
    </row>
    <row r="859" spans="1:2" x14ac:dyDescent="0.25">
      <c r="A859" t="str">
        <f>"=Benefit not given"</f>
        <v>=Benefit not given</v>
      </c>
      <c r="B859" t="s">
        <v>291</v>
      </c>
    </row>
    <row r="860" spans="1:2" x14ac:dyDescent="0.25">
      <c r="A860" t="s">
        <v>434</v>
      </c>
    </row>
    <row r="862" spans="1:2" x14ac:dyDescent="0.25">
      <c r="A862" t="s">
        <v>312</v>
      </c>
      <c r="B862" t="s">
        <v>313</v>
      </c>
    </row>
    <row r="863" spans="1:2" x14ac:dyDescent="0.25">
      <c r="A863" t="s">
        <v>310</v>
      </c>
      <c r="B863" t="str">
        <f>"=House to Non full time service Director"</f>
        <v>=House to Non full time service Director</v>
      </c>
    </row>
    <row r="864" spans="1:2" x14ac:dyDescent="0.25">
      <c r="A864" t="s">
        <v>435</v>
      </c>
    </row>
    <row r="866" spans="1:2" x14ac:dyDescent="0.25">
      <c r="A866" t="s">
        <v>313</v>
      </c>
      <c r="B866" t="s">
        <v>315</v>
      </c>
    </row>
    <row r="867" spans="1:2" x14ac:dyDescent="0.25">
      <c r="A867" t="str">
        <f>"=House to Non full time service Director"</f>
        <v>=House to Non full time service Director</v>
      </c>
      <c r="B867" t="s">
        <v>291</v>
      </c>
    </row>
    <row r="868" spans="1:2" x14ac:dyDescent="0.25">
      <c r="A868" t="s">
        <v>320</v>
      </c>
    </row>
    <row r="870" spans="1:2" x14ac:dyDescent="0.25">
      <c r="A870" t="s">
        <v>313</v>
      </c>
      <c r="B870" t="s">
        <v>317</v>
      </c>
    </row>
    <row r="871" spans="1:2" x14ac:dyDescent="0.25">
      <c r="A871" t="str">
        <f>"=House to Non full time service Director"</f>
        <v>=House to Non full time service Director</v>
      </c>
      <c r="B871" t="s">
        <v>291</v>
      </c>
    </row>
    <row r="872" spans="1:2" x14ac:dyDescent="0.25">
      <c r="A872" t="s">
        <v>321</v>
      </c>
    </row>
    <row r="874" spans="1:2" x14ac:dyDescent="0.25">
      <c r="A874" t="s">
        <v>313</v>
      </c>
      <c r="B874" t="s">
        <v>315</v>
      </c>
    </row>
    <row r="875" spans="1:2" x14ac:dyDescent="0.25">
      <c r="A875" t="s">
        <v>323</v>
      </c>
      <c r="B875" t="s">
        <v>310</v>
      </c>
    </row>
    <row r="876" spans="1:2" x14ac:dyDescent="0.25">
      <c r="A876" t="s">
        <v>322</v>
      </c>
    </row>
    <row r="878" spans="1:2" x14ac:dyDescent="0.25">
      <c r="A878" t="s">
        <v>313</v>
      </c>
      <c r="B878" t="s">
        <v>317</v>
      </c>
    </row>
    <row r="879" spans="1:2" x14ac:dyDescent="0.25">
      <c r="A879" t="s">
        <v>323</v>
      </c>
      <c r="B879" t="s">
        <v>310</v>
      </c>
    </row>
    <row r="880" spans="1:2" x14ac:dyDescent="0.25">
      <c r="A880" t="s">
        <v>324</v>
      </c>
    </row>
    <row r="882" spans="1:41" x14ac:dyDescent="0.25">
      <c r="A882" t="s">
        <v>312</v>
      </c>
      <c r="B882" t="s">
        <v>313</v>
      </c>
    </row>
    <row r="883" spans="1:41" x14ac:dyDescent="0.25">
      <c r="A883" t="s">
        <v>291</v>
      </c>
      <c r="B883" t="s">
        <v>323</v>
      </c>
    </row>
    <row r="884" spans="1:41" x14ac:dyDescent="0.25">
      <c r="A884" t="s">
        <v>436</v>
      </c>
    </row>
    <row r="886" spans="1:41" x14ac:dyDescent="0.25">
      <c r="A886" t="s">
        <v>313</v>
      </c>
      <c r="B886" t="s">
        <v>315</v>
      </c>
    </row>
    <row r="887" spans="1:41" x14ac:dyDescent="0.25">
      <c r="A887" t="s">
        <v>437</v>
      </c>
      <c r="B887" t="s">
        <v>310</v>
      </c>
    </row>
    <row r="888" spans="1:41" x14ac:dyDescent="0.25">
      <c r="A888" t="s">
        <v>326</v>
      </c>
    </row>
    <row r="890" spans="1:41" x14ac:dyDescent="0.25">
      <c r="A890" t="s">
        <v>313</v>
      </c>
      <c r="B890" t="s">
        <v>317</v>
      </c>
    </row>
    <row r="891" spans="1:41" x14ac:dyDescent="0.25">
      <c r="A891" s="28" t="s">
        <v>437</v>
      </c>
      <c r="B891" s="28" t="s">
        <v>310</v>
      </c>
      <c r="C891" s="28"/>
      <c r="D891" s="28"/>
      <c r="E891" s="28"/>
      <c r="F891" s="28"/>
      <c r="H891" s="28"/>
      <c r="I891" s="28"/>
      <c r="J891" s="28"/>
      <c r="K891" s="28"/>
      <c r="L891" s="28"/>
      <c r="M891" s="28"/>
      <c r="N891" s="28"/>
      <c r="O891" s="28"/>
      <c r="P891" s="28"/>
      <c r="Q891" s="28"/>
      <c r="R891" s="28"/>
      <c r="S891" s="28"/>
      <c r="T891" s="28"/>
      <c r="V891" s="28"/>
      <c r="W891" s="28"/>
      <c r="X891" s="28"/>
      <c r="Y891" s="28"/>
      <c r="Z891" s="28"/>
      <c r="AA891" s="28"/>
      <c r="AB891" s="28"/>
      <c r="AC891" s="28"/>
      <c r="AD891" s="28"/>
      <c r="AE891" s="28"/>
      <c r="AF891" s="28"/>
      <c r="AG891" s="28"/>
      <c r="AH891" s="28"/>
      <c r="AI891" s="28"/>
      <c r="AJ891" s="28"/>
      <c r="AK891" s="28"/>
      <c r="AL891" s="28"/>
      <c r="AM891" s="28"/>
      <c r="AN891" s="28"/>
      <c r="AO891" s="28"/>
    </row>
    <row r="892" spans="1:41" x14ac:dyDescent="0.25">
      <c r="A892" t="s">
        <v>327</v>
      </c>
    </row>
    <row r="894" spans="1:41" x14ac:dyDescent="0.25">
      <c r="A894" t="s">
        <v>312</v>
      </c>
      <c r="B894" t="s">
        <v>313</v>
      </c>
    </row>
    <row r="895" spans="1:41" x14ac:dyDescent="0.25">
      <c r="A895" t="s">
        <v>291</v>
      </c>
      <c r="B895" t="s">
        <v>437</v>
      </c>
    </row>
    <row r="896" spans="1:41" x14ac:dyDescent="0.25">
      <c r="A896" t="s">
        <v>438</v>
      </c>
    </row>
    <row r="898" spans="1:2" x14ac:dyDescent="0.25">
      <c r="A898" t="s">
        <v>312</v>
      </c>
      <c r="B898" t="s">
        <v>313</v>
      </c>
    </row>
    <row r="899" spans="1:2" x14ac:dyDescent="0.25">
      <c r="A899" t="s">
        <v>291</v>
      </c>
      <c r="B899" t="str">
        <f>"=Agriculture Farm"</f>
        <v>=Agriculture Farm</v>
      </c>
    </row>
    <row r="900" spans="1:2" x14ac:dyDescent="0.25">
      <c r="A900" t="s">
        <v>439</v>
      </c>
    </row>
    <row r="902" spans="1:2" x14ac:dyDescent="0.25">
      <c r="A902" t="s">
        <v>313</v>
      </c>
      <c r="B902" t="s">
        <v>315</v>
      </c>
    </row>
    <row r="903" spans="1:2" x14ac:dyDescent="0.25">
      <c r="A903" t="str">
        <f>"=Agriculture Farm"</f>
        <v>=Agriculture Farm</v>
      </c>
      <c r="B903" t="s">
        <v>291</v>
      </c>
    </row>
    <row r="904" spans="1:2" x14ac:dyDescent="0.25">
      <c r="A904" t="s">
        <v>330</v>
      </c>
    </row>
    <row r="906" spans="1:2" x14ac:dyDescent="0.25">
      <c r="A906" t="s">
        <v>313</v>
      </c>
      <c r="B906" t="s">
        <v>317</v>
      </c>
    </row>
    <row r="907" spans="1:2" x14ac:dyDescent="0.25">
      <c r="A907" s="26" t="str">
        <f>"=Agriculture Farm"</f>
        <v>=Agriculture Farm</v>
      </c>
      <c r="B907" t="s">
        <v>291</v>
      </c>
    </row>
    <row r="908" spans="1:2" x14ac:dyDescent="0.25">
      <c r="A908" t="s">
        <v>331</v>
      </c>
    </row>
    <row r="910" spans="1:2" x14ac:dyDescent="0.25">
      <c r="A910" t="s">
        <v>313</v>
      </c>
      <c r="B910" t="s">
        <v>440</v>
      </c>
    </row>
    <row r="911" spans="1:2" x14ac:dyDescent="0.25">
      <c r="A911" t="str">
        <f>"=Agriculture Farm"</f>
        <v>=Agriculture Farm</v>
      </c>
      <c r="B911" t="s">
        <v>291</v>
      </c>
    </row>
    <row r="912" spans="1:2" x14ac:dyDescent="0.25">
      <c r="A912" t="s">
        <v>365</v>
      </c>
    </row>
    <row r="914" spans="1:1" x14ac:dyDescent="0.25">
      <c r="A914" t="s">
        <v>296</v>
      </c>
    </row>
    <row r="915" spans="1:1" x14ac:dyDescent="0.25">
      <c r="A915" t="s">
        <v>291</v>
      </c>
    </row>
    <row r="916" spans="1:1" x14ac:dyDescent="0.25">
      <c r="A916" t="s">
        <v>441</v>
      </c>
    </row>
    <row r="918" spans="1:1" x14ac:dyDescent="0.25">
      <c r="A918" t="s">
        <v>298</v>
      </c>
    </row>
    <row r="919" spans="1:1" x14ac:dyDescent="0.25">
      <c r="A919" t="s">
        <v>291</v>
      </c>
    </row>
    <row r="920" spans="1:1" x14ac:dyDescent="0.25">
      <c r="A920" t="s">
        <v>442</v>
      </c>
    </row>
    <row r="922" spans="1:1" x14ac:dyDescent="0.25">
      <c r="A922" t="s">
        <v>300</v>
      </c>
    </row>
    <row r="923" spans="1:1" x14ac:dyDescent="0.25">
      <c r="A923" t="s">
        <v>291</v>
      </c>
    </row>
    <row r="924" spans="1:1" x14ac:dyDescent="0.25">
      <c r="A924" t="s">
        <v>301</v>
      </c>
    </row>
    <row r="926" spans="1:1" x14ac:dyDescent="0.25">
      <c r="A926" t="s">
        <v>302</v>
      </c>
    </row>
    <row r="927" spans="1:1" x14ac:dyDescent="0.25">
      <c r="A927" t="s">
        <v>291</v>
      </c>
    </row>
    <row r="928" spans="1:1" x14ac:dyDescent="0.25">
      <c r="A928" t="s">
        <v>303</v>
      </c>
    </row>
    <row r="930" spans="1:1" x14ac:dyDescent="0.25">
      <c r="A930" t="s">
        <v>304</v>
      </c>
    </row>
    <row r="931" spans="1:1" x14ac:dyDescent="0.25">
      <c r="A931" s="127" t="s">
        <v>291</v>
      </c>
    </row>
    <row r="932" spans="1:1" x14ac:dyDescent="0.25">
      <c r="A932" t="s">
        <v>443</v>
      </c>
    </row>
    <row r="934" spans="1:1" x14ac:dyDescent="0.25">
      <c r="A934" t="s">
        <v>209</v>
      </c>
    </row>
    <row r="935" spans="1:1" x14ac:dyDescent="0.25">
      <c r="A935" t="s">
        <v>291</v>
      </c>
    </row>
    <row r="936" spans="1:1" x14ac:dyDescent="0.25">
      <c r="A936" s="127" t="s">
        <v>306</v>
      </c>
    </row>
    <row r="938" spans="1:1" x14ac:dyDescent="0.25">
      <c r="A938" t="s">
        <v>241</v>
      </c>
    </row>
    <row r="939" spans="1:1" x14ac:dyDescent="0.25">
      <c r="A939" t="s">
        <v>291</v>
      </c>
    </row>
    <row r="940" spans="1:1" x14ac:dyDescent="0.25">
      <c r="A940" t="s">
        <v>307</v>
      </c>
    </row>
    <row r="942" spans="1:1" x14ac:dyDescent="0.25">
      <c r="A942" t="s">
        <v>212</v>
      </c>
    </row>
    <row r="943" spans="1:1" x14ac:dyDescent="0.25">
      <c r="A943" t="s">
        <v>291</v>
      </c>
    </row>
    <row r="944" spans="1:1" x14ac:dyDescent="0.25">
      <c r="A944" t="s">
        <v>308</v>
      </c>
    </row>
    <row r="946" spans="1:3" x14ac:dyDescent="0.25">
      <c r="A946" t="s">
        <v>215</v>
      </c>
    </row>
    <row r="947" spans="1:3" x14ac:dyDescent="0.25">
      <c r="A947" t="s">
        <v>291</v>
      </c>
    </row>
    <row r="948" spans="1:3" x14ac:dyDescent="0.25">
      <c r="A948" t="s">
        <v>444</v>
      </c>
    </row>
    <row r="950" spans="1:3" x14ac:dyDescent="0.25">
      <c r="A950" t="s">
        <v>132</v>
      </c>
    </row>
    <row r="951" spans="1:3" x14ac:dyDescent="0.25">
      <c r="A951" t="s">
        <v>310</v>
      </c>
    </row>
    <row r="952" spans="1:3" x14ac:dyDescent="0.25">
      <c r="A952" s="127" t="s">
        <v>1120</v>
      </c>
    </row>
    <row r="954" spans="1:3" x14ac:dyDescent="0.25">
      <c r="A954" t="s">
        <v>282</v>
      </c>
      <c r="B954" t="s">
        <v>286</v>
      </c>
      <c r="C954" t="s">
        <v>332</v>
      </c>
    </row>
    <row r="955" spans="1:3" x14ac:dyDescent="0.25">
      <c r="A955" t="str">
        <f>"=Resident"</f>
        <v>=Resident</v>
      </c>
      <c r="B955" t="str">
        <f>"=Primary Employee"</f>
        <v>=Primary Employee</v>
      </c>
      <c r="C955" t="s">
        <v>310</v>
      </c>
    </row>
    <row r="956" spans="1:3" x14ac:dyDescent="0.25">
      <c r="A956" t="s">
        <v>368</v>
      </c>
    </row>
    <row r="958" spans="1:3" x14ac:dyDescent="0.25">
      <c r="A958" t="s">
        <v>282</v>
      </c>
      <c r="B958" t="s">
        <v>286</v>
      </c>
      <c r="C958" t="s">
        <v>206</v>
      </c>
    </row>
    <row r="959" spans="1:3" x14ac:dyDescent="0.25">
      <c r="A959" t="str">
        <f>"=Resident"</f>
        <v>=Resident</v>
      </c>
      <c r="B959" t="str">
        <f>"=Primary Employee"</f>
        <v>=Primary Employee</v>
      </c>
      <c r="C959" t="s">
        <v>310</v>
      </c>
    </row>
    <row r="960" spans="1:3" x14ac:dyDescent="0.25">
      <c r="A960" t="s">
        <v>334</v>
      </c>
    </row>
    <row r="962" spans="1:5" x14ac:dyDescent="0.25">
      <c r="A962" t="s">
        <v>282</v>
      </c>
      <c r="B962" t="s">
        <v>286</v>
      </c>
      <c r="C962" t="s">
        <v>335</v>
      </c>
    </row>
    <row r="963" spans="1:5" x14ac:dyDescent="0.25">
      <c r="A963" t="str">
        <f>"=Resident"</f>
        <v>=Resident</v>
      </c>
      <c r="B963" t="str">
        <f>"=Primary Employee"</f>
        <v>=Primary Employee</v>
      </c>
      <c r="C963" t="s">
        <v>310</v>
      </c>
    </row>
    <row r="964" spans="1:5" x14ac:dyDescent="0.25">
      <c r="A964" t="s">
        <v>336</v>
      </c>
    </row>
    <row r="966" spans="1:5" x14ac:dyDescent="0.25">
      <c r="A966" t="s">
        <v>282</v>
      </c>
      <c r="B966" t="s">
        <v>286</v>
      </c>
      <c r="C966" t="s">
        <v>337</v>
      </c>
    </row>
    <row r="967" spans="1:5" x14ac:dyDescent="0.25">
      <c r="A967" t="str">
        <f>"=Resident"</f>
        <v>=Resident</v>
      </c>
      <c r="B967" t="str">
        <f>"=Primary Employee"</f>
        <v>=Primary Employee</v>
      </c>
      <c r="C967" t="s">
        <v>310</v>
      </c>
    </row>
    <row r="968" spans="1:5" x14ac:dyDescent="0.25">
      <c r="A968" t="s">
        <v>338</v>
      </c>
    </row>
    <row r="970" spans="1:5" x14ac:dyDescent="0.25">
      <c r="A970" t="s">
        <v>313</v>
      </c>
      <c r="B970" t="s">
        <v>313</v>
      </c>
      <c r="C970" t="s">
        <v>313</v>
      </c>
      <c r="D970" t="s">
        <v>313</v>
      </c>
      <c r="E970" t="s">
        <v>313</v>
      </c>
    </row>
    <row r="971" spans="1:5" x14ac:dyDescent="0.25">
      <c r="A971" t="s">
        <v>963</v>
      </c>
      <c r="B971" t="s">
        <v>964</v>
      </c>
      <c r="C971" t="s">
        <v>965</v>
      </c>
      <c r="D971" t="s">
        <v>966</v>
      </c>
      <c r="E971" t="s">
        <v>967</v>
      </c>
    </row>
    <row r="972" spans="1:5" x14ac:dyDescent="0.25">
      <c r="A972" t="s">
        <v>968</v>
      </c>
    </row>
    <row r="974" spans="1:5" x14ac:dyDescent="0.25">
      <c r="A974" t="s">
        <v>282</v>
      </c>
      <c r="B974" t="s">
        <v>286</v>
      </c>
      <c r="C974" t="s">
        <v>332</v>
      </c>
    </row>
    <row r="975" spans="1:5" x14ac:dyDescent="0.25">
      <c r="A975" t="str">
        <f>"=Non-Resident"</f>
        <v>=Non-Resident</v>
      </c>
      <c r="B975" t="str">
        <f>"=Primary Employee"</f>
        <v>=Primary Employee</v>
      </c>
      <c r="C975" t="s">
        <v>291</v>
      </c>
    </row>
    <row r="976" spans="1:5" x14ac:dyDescent="0.25">
      <c r="A976" t="s">
        <v>1071</v>
      </c>
    </row>
    <row r="978" spans="1:3" x14ac:dyDescent="0.25">
      <c r="A978" t="s">
        <v>282</v>
      </c>
      <c r="B978" t="s">
        <v>286</v>
      </c>
      <c r="C978" t="s">
        <v>206</v>
      </c>
    </row>
    <row r="979" spans="1:3" x14ac:dyDescent="0.25">
      <c r="A979" t="str">
        <f>"=Non-Resident"</f>
        <v>=Non-Resident</v>
      </c>
      <c r="B979" t="str">
        <f>"=Primary Employee"</f>
        <v>=Primary Employee</v>
      </c>
      <c r="C979" t="s">
        <v>310</v>
      </c>
    </row>
    <row r="980" spans="1:3" x14ac:dyDescent="0.25">
      <c r="A980" t="s">
        <v>1072</v>
      </c>
    </row>
    <row r="982" spans="1:3" x14ac:dyDescent="0.25">
      <c r="A982" t="s">
        <v>282</v>
      </c>
      <c r="B982" t="s">
        <v>286</v>
      </c>
      <c r="C982" t="s">
        <v>335</v>
      </c>
    </row>
    <row r="983" spans="1:3" x14ac:dyDescent="0.25">
      <c r="A983" t="str">
        <f>"=Non-Resident"</f>
        <v>=Non-Resident</v>
      </c>
      <c r="B983" t="str">
        <f>"=Primary Employee"</f>
        <v>=Primary Employee</v>
      </c>
      <c r="C983" t="s">
        <v>310</v>
      </c>
    </row>
    <row r="984" spans="1:3" x14ac:dyDescent="0.25">
      <c r="A984" t="s">
        <v>1036</v>
      </c>
    </row>
    <row r="986" spans="1:3" x14ac:dyDescent="0.25">
      <c r="A986" t="s">
        <v>282</v>
      </c>
      <c r="B986" t="s">
        <v>286</v>
      </c>
      <c r="C986" t="s">
        <v>337</v>
      </c>
    </row>
    <row r="987" spans="1:3" x14ac:dyDescent="0.25">
      <c r="A987" t="str">
        <f>"=Non-Resident"</f>
        <v>=Non-Resident</v>
      </c>
      <c r="B987" t="str">
        <f>"=Primary Employee"</f>
        <v>=Primary Employee</v>
      </c>
      <c r="C987" t="s">
        <v>291</v>
      </c>
    </row>
    <row r="988" spans="1:3" x14ac:dyDescent="0.25">
      <c r="A988" t="s">
        <v>1073</v>
      </c>
    </row>
    <row r="990" spans="1:3" x14ac:dyDescent="0.25">
      <c r="A990" t="s">
        <v>286</v>
      </c>
      <c r="B990" t="s">
        <v>332</v>
      </c>
    </row>
    <row r="991" spans="1:3" x14ac:dyDescent="0.25">
      <c r="A991" t="str">
        <f>"=Secondary Employee"</f>
        <v>=Secondary Employee</v>
      </c>
      <c r="B991" t="s">
        <v>291</v>
      </c>
    </row>
    <row r="992" spans="1:3" x14ac:dyDescent="0.25">
      <c r="A992" t="s">
        <v>1037</v>
      </c>
    </row>
    <row r="994" spans="1:2" x14ac:dyDescent="0.25">
      <c r="A994" t="s">
        <v>286</v>
      </c>
      <c r="B994" t="s">
        <v>206</v>
      </c>
    </row>
    <row r="995" spans="1:2" x14ac:dyDescent="0.25">
      <c r="A995" t="str">
        <f>"=Secondary Employee"</f>
        <v>=Secondary Employee</v>
      </c>
      <c r="B995" t="s">
        <v>291</v>
      </c>
    </row>
    <row r="996" spans="1:2" x14ac:dyDescent="0.25">
      <c r="A996" t="s">
        <v>1038</v>
      </c>
    </row>
    <row r="998" spans="1:2" x14ac:dyDescent="0.25">
      <c r="A998" t="s">
        <v>286</v>
      </c>
      <c r="B998" t="s">
        <v>335</v>
      </c>
    </row>
    <row r="999" spans="1:2" x14ac:dyDescent="0.25">
      <c r="A999" t="str">
        <f>"=Secondary Employee"</f>
        <v>=Secondary Employee</v>
      </c>
      <c r="B999" t="s">
        <v>291</v>
      </c>
    </row>
    <row r="1000" spans="1:2" x14ac:dyDescent="0.25">
      <c r="A1000" t="s">
        <v>1039</v>
      </c>
    </row>
    <row r="1002" spans="1:2" x14ac:dyDescent="0.25">
      <c r="A1002" t="s">
        <v>286</v>
      </c>
      <c r="B1002" t="s">
        <v>337</v>
      </c>
    </row>
    <row r="1003" spans="1:2" x14ac:dyDescent="0.25">
      <c r="A1003" t="str">
        <f>"=Secondary Employee"</f>
        <v>=Secondary Employee</v>
      </c>
      <c r="B1003" t="s">
        <v>291</v>
      </c>
    </row>
    <row r="1004" spans="1:2" x14ac:dyDescent="0.25">
      <c r="A1004" t="s">
        <v>1040</v>
      </c>
    </row>
    <row r="1006" spans="1:2" x14ac:dyDescent="0.25">
      <c r="A1006" t="s">
        <v>282</v>
      </c>
      <c r="B1006" t="s">
        <v>133</v>
      </c>
    </row>
    <row r="1007" spans="1:2" x14ac:dyDescent="0.25">
      <c r="A1007" t="str">
        <f>"=Resident"</f>
        <v>=Resident</v>
      </c>
      <c r="B1007" t="s">
        <v>310</v>
      </c>
    </row>
    <row r="1008" spans="1:2" x14ac:dyDescent="0.25">
      <c r="A1008" t="s">
        <v>1062</v>
      </c>
    </row>
    <row r="1010" spans="1:2" x14ac:dyDescent="0.25">
      <c r="A1010" t="s">
        <v>282</v>
      </c>
      <c r="B1010" t="s">
        <v>133</v>
      </c>
    </row>
    <row r="1011" spans="1:2" x14ac:dyDescent="0.25">
      <c r="A1011" t="str">
        <f>"=Non-Resident"</f>
        <v>=Non-Resident</v>
      </c>
      <c r="B1011" t="s">
        <v>291</v>
      </c>
    </row>
    <row r="1012" spans="1:2" x14ac:dyDescent="0.25">
      <c r="A1012" t="s">
        <v>1074</v>
      </c>
    </row>
    <row r="1014" spans="1:2" x14ac:dyDescent="0.25">
      <c r="A1014" t="s">
        <v>1084</v>
      </c>
    </row>
    <row r="1015" spans="1:2" x14ac:dyDescent="0.25">
      <c r="A1015" t="s">
        <v>310</v>
      </c>
    </row>
    <row r="1016" spans="1:2" x14ac:dyDescent="0.25">
      <c r="A1016" t="s">
        <v>1085</v>
      </c>
    </row>
    <row r="1018" spans="1:2" x14ac:dyDescent="0.25">
      <c r="A1018" t="s">
        <v>340</v>
      </c>
    </row>
    <row r="1019" spans="1:2" x14ac:dyDescent="0.25">
      <c r="A1019" t="str">
        <f>"=???????????????????????????????????????????????????*"</f>
        <v>=???????????????????????????????????????????????????*</v>
      </c>
    </row>
    <row r="1020" spans="1:2" x14ac:dyDescent="0.25">
      <c r="A1020" t="s">
        <v>1101</v>
      </c>
    </row>
    <row r="1022" spans="1:2" x14ac:dyDescent="0.25">
      <c r="A1022" t="s">
        <v>132</v>
      </c>
    </row>
    <row r="1023" spans="1:2" x14ac:dyDescent="0.25">
      <c r="A1023" t="s">
        <v>1017</v>
      </c>
    </row>
    <row r="1024" spans="1:2" x14ac:dyDescent="0.25">
      <c r="A1024" s="127" t="s">
        <v>1121</v>
      </c>
    </row>
    <row r="1026" spans="1:39" x14ac:dyDescent="0.25">
      <c r="A1026" t="s">
        <v>407</v>
      </c>
      <c r="B1026" t="s">
        <v>340</v>
      </c>
      <c r="C1026" t="s">
        <v>101</v>
      </c>
      <c r="D1026" t="s">
        <v>429</v>
      </c>
      <c r="E1026" t="s">
        <v>282</v>
      </c>
      <c r="F1026" t="s">
        <v>286</v>
      </c>
      <c r="G1026" t="s">
        <v>445</v>
      </c>
      <c r="H1026" t="s">
        <v>446</v>
      </c>
      <c r="I1026" t="s">
        <v>447</v>
      </c>
      <c r="J1026" t="s">
        <v>448</v>
      </c>
      <c r="K1026" t="s">
        <v>449</v>
      </c>
      <c r="L1026" t="s">
        <v>450</v>
      </c>
      <c r="M1026" t="s">
        <v>451</v>
      </c>
      <c r="N1026" t="s">
        <v>452</v>
      </c>
      <c r="O1026" t="s">
        <v>290</v>
      </c>
      <c r="P1026" t="s">
        <v>1084</v>
      </c>
      <c r="Q1026" t="s">
        <v>125</v>
      </c>
      <c r="R1026" t="s">
        <v>203</v>
      </c>
      <c r="S1026" t="s">
        <v>312</v>
      </c>
      <c r="T1026" t="s">
        <v>313</v>
      </c>
      <c r="U1026" t="s">
        <v>315</v>
      </c>
      <c r="V1026" t="s">
        <v>294</v>
      </c>
      <c r="W1026" t="s">
        <v>317</v>
      </c>
      <c r="X1026" t="s">
        <v>296</v>
      </c>
      <c r="Y1026" t="s">
        <v>298</v>
      </c>
      <c r="Z1026" t="s">
        <v>300</v>
      </c>
      <c r="AA1026" t="s">
        <v>332</v>
      </c>
      <c r="AB1026" t="s">
        <v>302</v>
      </c>
      <c r="AC1026" t="s">
        <v>206</v>
      </c>
      <c r="AD1026" t="s">
        <v>335</v>
      </c>
      <c r="AE1026" t="s">
        <v>304</v>
      </c>
      <c r="AF1026" t="s">
        <v>209</v>
      </c>
      <c r="AG1026" t="s">
        <v>241</v>
      </c>
      <c r="AH1026" t="s">
        <v>337</v>
      </c>
      <c r="AI1026" t="s">
        <v>133</v>
      </c>
      <c r="AJ1026" t="s">
        <v>212</v>
      </c>
      <c r="AK1026" t="s">
        <v>246</v>
      </c>
      <c r="AL1026" t="s">
        <v>215</v>
      </c>
      <c r="AM1026" t="s">
        <v>132</v>
      </c>
    </row>
    <row r="1086" spans="1:4" x14ac:dyDescent="0.25">
      <c r="A1086" t="s">
        <v>453</v>
      </c>
    </row>
    <row r="1087" spans="1:4" x14ac:dyDescent="0.25">
      <c r="A1087" t="s">
        <v>195</v>
      </c>
      <c r="B1087" t="s">
        <v>196</v>
      </c>
      <c r="C1087" t="s">
        <v>197</v>
      </c>
      <c r="D1087" t="s">
        <v>198</v>
      </c>
    </row>
    <row r="1088" spans="1:4" x14ac:dyDescent="0.25">
      <c r="A1088" t="s">
        <v>199</v>
      </c>
      <c r="B1088">
        <v>1154</v>
      </c>
      <c r="C1088" t="s">
        <v>414</v>
      </c>
      <c r="D1088" t="s">
        <v>125</v>
      </c>
    </row>
    <row r="1089" spans="1:4" x14ac:dyDescent="0.25">
      <c r="A1089" t="s">
        <v>201</v>
      </c>
      <c r="B1089">
        <v>1159</v>
      </c>
      <c r="C1089" t="s">
        <v>977</v>
      </c>
      <c r="D1089" t="s">
        <v>203</v>
      </c>
    </row>
    <row r="1090" spans="1:4" x14ac:dyDescent="0.25">
      <c r="A1090" t="s">
        <v>204</v>
      </c>
      <c r="B1090">
        <v>1163</v>
      </c>
      <c r="C1090" t="s">
        <v>978</v>
      </c>
      <c r="D1090" t="s">
        <v>312</v>
      </c>
    </row>
    <row r="1091" spans="1:4" x14ac:dyDescent="0.25">
      <c r="A1091" t="s">
        <v>207</v>
      </c>
      <c r="B1091">
        <v>1167</v>
      </c>
      <c r="C1091" t="s">
        <v>979</v>
      </c>
      <c r="D1091" t="s">
        <v>294</v>
      </c>
    </row>
    <row r="1092" spans="1:4" x14ac:dyDescent="0.25">
      <c r="A1092" t="s">
        <v>210</v>
      </c>
      <c r="B1092">
        <v>1171</v>
      </c>
      <c r="C1092" t="s">
        <v>980</v>
      </c>
      <c r="D1092" t="s">
        <v>209</v>
      </c>
    </row>
    <row r="1093" spans="1:4" x14ac:dyDescent="0.25">
      <c r="A1093" t="s">
        <v>213</v>
      </c>
      <c r="B1093">
        <v>1175</v>
      </c>
      <c r="C1093" t="s">
        <v>981</v>
      </c>
      <c r="D1093" t="s">
        <v>212</v>
      </c>
    </row>
    <row r="1094" spans="1:4" x14ac:dyDescent="0.25">
      <c r="A1094" t="s">
        <v>216</v>
      </c>
      <c r="B1094">
        <v>1179</v>
      </c>
      <c r="C1094" t="s">
        <v>982</v>
      </c>
      <c r="D1094" t="s">
        <v>215</v>
      </c>
    </row>
    <row r="1095" spans="1:4" x14ac:dyDescent="0.25">
      <c r="A1095" t="s">
        <v>218</v>
      </c>
      <c r="B1095">
        <v>1183</v>
      </c>
      <c r="C1095" t="s">
        <v>983</v>
      </c>
      <c r="D1095" t="s">
        <v>220</v>
      </c>
    </row>
    <row r="1096" spans="1:4" x14ac:dyDescent="0.25">
      <c r="A1096" t="s">
        <v>221</v>
      </c>
      <c r="B1096">
        <v>1187</v>
      </c>
      <c r="C1096" t="s">
        <v>984</v>
      </c>
      <c r="D1096" t="s">
        <v>212</v>
      </c>
    </row>
    <row r="1097" spans="1:4" x14ac:dyDescent="0.25">
      <c r="A1097" t="s">
        <v>224</v>
      </c>
      <c r="B1097">
        <v>1191</v>
      </c>
      <c r="C1097" t="s">
        <v>985</v>
      </c>
      <c r="D1097" t="s">
        <v>215</v>
      </c>
    </row>
    <row r="1098" spans="1:4" x14ac:dyDescent="0.25">
      <c r="A1098" t="s">
        <v>227</v>
      </c>
      <c r="B1098">
        <v>1195</v>
      </c>
      <c r="C1098" t="s">
        <v>986</v>
      </c>
      <c r="D1098" t="s">
        <v>220</v>
      </c>
    </row>
    <row r="1099" spans="1:4" x14ac:dyDescent="0.25">
      <c r="A1099" t="s">
        <v>230</v>
      </c>
      <c r="B1099">
        <v>1199</v>
      </c>
      <c r="C1099" t="s">
        <v>987</v>
      </c>
      <c r="D1099" t="s">
        <v>215</v>
      </c>
    </row>
    <row r="1100" spans="1:4" x14ac:dyDescent="0.25">
      <c r="A1100" t="s">
        <v>233</v>
      </c>
      <c r="B1100">
        <v>1203</v>
      </c>
      <c r="C1100" t="s">
        <v>988</v>
      </c>
      <c r="D1100" t="s">
        <v>220</v>
      </c>
    </row>
    <row r="1101" spans="1:4" x14ac:dyDescent="0.25">
      <c r="A1101" t="s">
        <v>236</v>
      </c>
      <c r="B1101">
        <v>1207</v>
      </c>
      <c r="C1101" t="s">
        <v>989</v>
      </c>
      <c r="D1101" t="s">
        <v>212</v>
      </c>
    </row>
    <row r="1102" spans="1:4" x14ac:dyDescent="0.25">
      <c r="A1102" t="s">
        <v>239</v>
      </c>
      <c r="B1102">
        <v>1211</v>
      </c>
      <c r="C1102" t="s">
        <v>990</v>
      </c>
      <c r="D1102" t="s">
        <v>215</v>
      </c>
    </row>
    <row r="1103" spans="1:4" x14ac:dyDescent="0.25">
      <c r="A1103" t="s">
        <v>242</v>
      </c>
      <c r="B1103">
        <v>1215</v>
      </c>
      <c r="C1103" t="s">
        <v>991</v>
      </c>
      <c r="D1103" t="s">
        <v>220</v>
      </c>
    </row>
    <row r="1104" spans="1:4" x14ac:dyDescent="0.25">
      <c r="A1104" t="s">
        <v>244</v>
      </c>
      <c r="B1104">
        <v>1219</v>
      </c>
      <c r="C1104" t="s">
        <v>992</v>
      </c>
      <c r="D1104" t="s">
        <v>212</v>
      </c>
    </row>
    <row r="1105" spans="1:4" x14ac:dyDescent="0.25">
      <c r="A1105" t="s">
        <v>247</v>
      </c>
      <c r="B1105">
        <v>1223</v>
      </c>
      <c r="C1105" t="s">
        <v>993</v>
      </c>
      <c r="D1105" t="s">
        <v>212</v>
      </c>
    </row>
    <row r="1106" spans="1:4" x14ac:dyDescent="0.25">
      <c r="A1106" t="s">
        <v>249</v>
      </c>
      <c r="B1106">
        <v>1227</v>
      </c>
      <c r="C1106" t="s">
        <v>1012</v>
      </c>
      <c r="D1106" t="s">
        <v>317</v>
      </c>
    </row>
    <row r="1107" spans="1:4" x14ac:dyDescent="0.25">
      <c r="A1107" t="s">
        <v>251</v>
      </c>
      <c r="B1107">
        <v>1231</v>
      </c>
      <c r="C1107" t="s">
        <v>995</v>
      </c>
      <c r="D1107" t="s">
        <v>215</v>
      </c>
    </row>
    <row r="1108" spans="1:4" x14ac:dyDescent="0.25">
      <c r="A1108" t="s">
        <v>253</v>
      </c>
      <c r="B1108">
        <v>1235</v>
      </c>
      <c r="C1108" t="s">
        <v>996</v>
      </c>
      <c r="D1108" t="s">
        <v>220</v>
      </c>
    </row>
    <row r="1109" spans="1:4" x14ac:dyDescent="0.25">
      <c r="A1109" t="s">
        <v>255</v>
      </c>
      <c r="B1109">
        <v>1239</v>
      </c>
      <c r="C1109" t="s">
        <v>1013</v>
      </c>
      <c r="D1109" t="s">
        <v>135</v>
      </c>
    </row>
    <row r="1110" spans="1:4" x14ac:dyDescent="0.25">
      <c r="A1110" t="s">
        <v>257</v>
      </c>
      <c r="B1110">
        <v>1243</v>
      </c>
      <c r="C1110" t="s">
        <v>998</v>
      </c>
      <c r="D1110" t="s">
        <v>273</v>
      </c>
    </row>
    <row r="1111" spans="1:4" x14ac:dyDescent="0.25">
      <c r="A1111" t="s">
        <v>259</v>
      </c>
      <c r="B1111">
        <v>1247</v>
      </c>
      <c r="C1111" t="s">
        <v>999</v>
      </c>
      <c r="D1111" t="s">
        <v>273</v>
      </c>
    </row>
    <row r="1112" spans="1:4" x14ac:dyDescent="0.25">
      <c r="A1112" t="s">
        <v>261</v>
      </c>
      <c r="B1112">
        <v>1251</v>
      </c>
      <c r="C1112" t="s">
        <v>1000</v>
      </c>
      <c r="D1112" t="s">
        <v>276</v>
      </c>
    </row>
    <row r="1113" spans="1:4" x14ac:dyDescent="0.25">
      <c r="A1113" t="s">
        <v>263</v>
      </c>
      <c r="B1113">
        <v>1255</v>
      </c>
      <c r="C1113" t="s">
        <v>1001</v>
      </c>
      <c r="D1113" t="s">
        <v>226</v>
      </c>
    </row>
    <row r="1114" spans="1:4" x14ac:dyDescent="0.25">
      <c r="A1114" t="s">
        <v>265</v>
      </c>
      <c r="B1114">
        <v>1259</v>
      </c>
      <c r="C1114" t="s">
        <v>1002</v>
      </c>
      <c r="D1114" t="s">
        <v>232</v>
      </c>
    </row>
    <row r="1115" spans="1:4" x14ac:dyDescent="0.25">
      <c r="A1115" t="s">
        <v>267</v>
      </c>
      <c r="B1115">
        <v>1263</v>
      </c>
      <c r="C1115" t="s">
        <v>1003</v>
      </c>
      <c r="D1115" t="s">
        <v>352</v>
      </c>
    </row>
    <row r="1116" spans="1:4" x14ac:dyDescent="0.25">
      <c r="A1116" t="s">
        <v>269</v>
      </c>
      <c r="B1116">
        <v>1267</v>
      </c>
      <c r="C1116" t="s">
        <v>1004</v>
      </c>
      <c r="D1116" t="s">
        <v>235</v>
      </c>
    </row>
    <row r="1117" spans="1:4" x14ac:dyDescent="0.25">
      <c r="A1117" t="s">
        <v>271</v>
      </c>
      <c r="B1117">
        <v>1271</v>
      </c>
      <c r="C1117" t="s">
        <v>1005</v>
      </c>
      <c r="D1117" t="s">
        <v>238</v>
      </c>
    </row>
    <row r="1118" spans="1:4" x14ac:dyDescent="0.25">
      <c r="A1118" t="s">
        <v>274</v>
      </c>
      <c r="B1118">
        <v>1275</v>
      </c>
      <c r="C1118" t="s">
        <v>1006</v>
      </c>
      <c r="D1118" t="s">
        <v>415</v>
      </c>
    </row>
    <row r="1119" spans="1:4" x14ac:dyDescent="0.25">
      <c r="A1119" t="s">
        <v>277</v>
      </c>
      <c r="B1119">
        <v>1279</v>
      </c>
      <c r="C1119" t="s">
        <v>1060</v>
      </c>
      <c r="D1119" t="s">
        <v>454</v>
      </c>
    </row>
    <row r="1120" spans="1:4" x14ac:dyDescent="0.25">
      <c r="A1120" t="s">
        <v>280</v>
      </c>
      <c r="B1120">
        <v>1283</v>
      </c>
      <c r="C1120" t="s">
        <v>1061</v>
      </c>
      <c r="D1120" t="s">
        <v>455</v>
      </c>
    </row>
    <row r="1121" spans="1:4" x14ac:dyDescent="0.25">
      <c r="A1121" t="s">
        <v>355</v>
      </c>
      <c r="B1121">
        <v>1287</v>
      </c>
      <c r="C1121" t="s">
        <v>1009</v>
      </c>
      <c r="D1121" t="s">
        <v>279</v>
      </c>
    </row>
    <row r="1122" spans="1:4" x14ac:dyDescent="0.25">
      <c r="A1122" t="s">
        <v>357</v>
      </c>
      <c r="B1122">
        <v>1291</v>
      </c>
      <c r="C1122" t="s">
        <v>1010</v>
      </c>
      <c r="D1122" t="s">
        <v>229</v>
      </c>
    </row>
    <row r="1123" spans="1:4" x14ac:dyDescent="0.25">
      <c r="A1123" t="s">
        <v>359</v>
      </c>
      <c r="B1123">
        <v>1295</v>
      </c>
      <c r="C1123" t="s">
        <v>1014</v>
      </c>
      <c r="D1123" t="s">
        <v>351</v>
      </c>
    </row>
    <row r="1124" spans="1:4" x14ac:dyDescent="0.25">
      <c r="A1124" t="s">
        <v>456</v>
      </c>
      <c r="B1124">
        <v>1299</v>
      </c>
      <c r="C1124" t="s">
        <v>1015</v>
      </c>
      <c r="D1124" t="s">
        <v>353</v>
      </c>
    </row>
    <row r="1125" spans="1:4" x14ac:dyDescent="0.25">
      <c r="A1125" t="s">
        <v>970</v>
      </c>
      <c r="B1125">
        <v>1303</v>
      </c>
      <c r="C1125" t="s">
        <v>1016</v>
      </c>
      <c r="D1125" t="s">
        <v>246</v>
      </c>
    </row>
    <row r="1126" spans="1:4" x14ac:dyDescent="0.25">
      <c r="A1126" t="s">
        <v>1028</v>
      </c>
      <c r="B1126">
        <v>1307</v>
      </c>
      <c r="C1126" t="s">
        <v>1049</v>
      </c>
      <c r="D1126" t="s">
        <v>279</v>
      </c>
    </row>
    <row r="1127" spans="1:4" x14ac:dyDescent="0.25">
      <c r="A1127" t="s">
        <v>1030</v>
      </c>
      <c r="B1127">
        <v>1311</v>
      </c>
      <c r="C1127" t="s">
        <v>1050</v>
      </c>
      <c r="D1127" t="s">
        <v>229</v>
      </c>
    </row>
    <row r="1128" spans="1:4" x14ac:dyDescent="0.25">
      <c r="A1128" t="s">
        <v>1032</v>
      </c>
      <c r="B1128">
        <v>1315</v>
      </c>
      <c r="C1128" t="s">
        <v>1055</v>
      </c>
      <c r="D1128" t="s">
        <v>351</v>
      </c>
    </row>
    <row r="1129" spans="1:4" x14ac:dyDescent="0.25">
      <c r="A1129" t="s">
        <v>1034</v>
      </c>
      <c r="B1129">
        <v>1319</v>
      </c>
      <c r="C1129" t="s">
        <v>1056</v>
      </c>
      <c r="D1129" t="s">
        <v>353</v>
      </c>
    </row>
    <row r="1130" spans="1:4" x14ac:dyDescent="0.25">
      <c r="A1130" t="s">
        <v>1041</v>
      </c>
      <c r="B1130">
        <v>1323</v>
      </c>
      <c r="C1130" t="s">
        <v>1053</v>
      </c>
      <c r="D1130" t="s">
        <v>279</v>
      </c>
    </row>
    <row r="1131" spans="1:4" x14ac:dyDescent="0.25">
      <c r="A1131" t="s">
        <v>1043</v>
      </c>
      <c r="B1131">
        <v>1327</v>
      </c>
      <c r="C1131" t="s">
        <v>1054</v>
      </c>
      <c r="D1131" t="s">
        <v>229</v>
      </c>
    </row>
    <row r="1132" spans="1:4" x14ac:dyDescent="0.25">
      <c r="A1132" t="s">
        <v>1045</v>
      </c>
      <c r="B1132">
        <v>1331</v>
      </c>
      <c r="C1132" t="s">
        <v>1057</v>
      </c>
      <c r="D1132" t="s">
        <v>351</v>
      </c>
    </row>
    <row r="1133" spans="1:4" x14ac:dyDescent="0.25">
      <c r="A1133" t="s">
        <v>1058</v>
      </c>
      <c r="B1133">
        <v>1335</v>
      </c>
      <c r="C1133" t="s">
        <v>1059</v>
      </c>
      <c r="D1133" t="s">
        <v>353</v>
      </c>
    </row>
    <row r="1134" spans="1:4" x14ac:dyDescent="0.25">
      <c r="A1134" t="s">
        <v>1064</v>
      </c>
      <c r="B1134">
        <v>1339</v>
      </c>
      <c r="C1134" t="s">
        <v>1066</v>
      </c>
      <c r="D1134" t="s">
        <v>354</v>
      </c>
    </row>
    <row r="1135" spans="1:4" x14ac:dyDescent="0.25">
      <c r="A1135" t="s">
        <v>1067</v>
      </c>
      <c r="B1135">
        <v>1343</v>
      </c>
      <c r="C1135" t="s">
        <v>1068</v>
      </c>
      <c r="D1135" t="s">
        <v>354</v>
      </c>
    </row>
    <row r="1136" spans="1:4" x14ac:dyDescent="0.25">
      <c r="A1136" t="s">
        <v>1089</v>
      </c>
      <c r="B1136">
        <v>1347</v>
      </c>
      <c r="C1136" t="s">
        <v>1090</v>
      </c>
      <c r="D1136" t="s">
        <v>241</v>
      </c>
    </row>
    <row r="1137" spans="1:4" x14ac:dyDescent="0.25">
      <c r="A1137" t="s">
        <v>1103</v>
      </c>
      <c r="B1137">
        <v>1351</v>
      </c>
      <c r="C1137" t="s">
        <v>1104</v>
      </c>
      <c r="D1137" t="s">
        <v>349</v>
      </c>
    </row>
    <row r="1138" spans="1:4" x14ac:dyDescent="0.25">
      <c r="A1138" t="s">
        <v>1108</v>
      </c>
      <c r="B1138">
        <v>1355</v>
      </c>
      <c r="C1138" t="s">
        <v>1109</v>
      </c>
      <c r="D1138" t="s">
        <v>317</v>
      </c>
    </row>
    <row r="1139" spans="1:4" x14ac:dyDescent="0.25">
      <c r="A1139" t="s">
        <v>1122</v>
      </c>
      <c r="B1139">
        <v>1359</v>
      </c>
      <c r="C1139" t="s">
        <v>1123</v>
      </c>
      <c r="D1139" t="s">
        <v>455</v>
      </c>
    </row>
    <row r="1153" spans="1:12" x14ac:dyDescent="0.25">
      <c r="A1153" t="s">
        <v>101</v>
      </c>
      <c r="B1153" t="s">
        <v>101</v>
      </c>
      <c r="C1153" t="s">
        <v>101</v>
      </c>
      <c r="D1153" t="s">
        <v>101</v>
      </c>
      <c r="E1153" t="s">
        <v>101</v>
      </c>
      <c r="F1153" t="s">
        <v>101</v>
      </c>
      <c r="G1153" t="s">
        <v>101</v>
      </c>
      <c r="H1153" t="s">
        <v>101</v>
      </c>
      <c r="I1153" t="s">
        <v>101</v>
      </c>
      <c r="J1153" t="s">
        <v>101</v>
      </c>
      <c r="K1153" t="s">
        <v>101</v>
      </c>
      <c r="L1153" t="s">
        <v>101</v>
      </c>
    </row>
    <row r="1154" spans="1:12" x14ac:dyDescent="0.25">
      <c r="A1154" t="s">
        <v>417</v>
      </c>
      <c r="B1154" t="s">
        <v>418</v>
      </c>
      <c r="C1154" t="s">
        <v>419</v>
      </c>
      <c r="D1154" t="s">
        <v>420</v>
      </c>
      <c r="E1154" t="s">
        <v>421</v>
      </c>
      <c r="F1154" t="s">
        <v>422</v>
      </c>
      <c r="G1154" t="s">
        <v>423</v>
      </c>
      <c r="H1154" t="s">
        <v>424</v>
      </c>
      <c r="I1154" t="s">
        <v>425</v>
      </c>
      <c r="J1154" t="s">
        <v>426</v>
      </c>
      <c r="K1154" t="s">
        <v>427</v>
      </c>
      <c r="L1154" t="s">
        <v>428</v>
      </c>
    </row>
    <row r="1155" spans="1:12" x14ac:dyDescent="0.25">
      <c r="A1155" t="s">
        <v>1023</v>
      </c>
    </row>
    <row r="1157" spans="1:12" x14ac:dyDescent="0.25">
      <c r="A1157" t="s">
        <v>429</v>
      </c>
      <c r="B1157" t="s">
        <v>429</v>
      </c>
    </row>
    <row r="1158" spans="1:12" x14ac:dyDescent="0.25">
      <c r="A1158" t="s">
        <v>430</v>
      </c>
    </row>
    <row r="1159" spans="1:12" x14ac:dyDescent="0.25">
      <c r="B1159" t="str">
        <f ca="1">CONCATENATE("&gt;",YEAR(TODAY()))</f>
        <v>&gt;2016</v>
      </c>
    </row>
    <row r="1160" spans="1:12" x14ac:dyDescent="0.25">
      <c r="A1160" t="s">
        <v>1024</v>
      </c>
    </row>
    <row r="1162" spans="1:12" x14ac:dyDescent="0.25">
      <c r="A1162" t="s">
        <v>282</v>
      </c>
      <c r="B1162" t="s">
        <v>282</v>
      </c>
    </row>
    <row r="1163" spans="1:12" x14ac:dyDescent="0.25">
      <c r="A1163" t="s">
        <v>283</v>
      </c>
      <c r="B1163" t="s">
        <v>284</v>
      </c>
    </row>
    <row r="1164" spans="1:12" x14ac:dyDescent="0.25">
      <c r="A1164" t="s">
        <v>1025</v>
      </c>
    </row>
    <row r="1166" spans="1:12" x14ac:dyDescent="0.25">
      <c r="A1166" t="s">
        <v>286</v>
      </c>
      <c r="B1166" t="s">
        <v>286</v>
      </c>
    </row>
    <row r="1167" spans="1:12" x14ac:dyDescent="0.25">
      <c r="A1167" t="s">
        <v>287</v>
      </c>
      <c r="B1167" t="s">
        <v>288</v>
      </c>
    </row>
    <row r="1168" spans="1:12" x14ac:dyDescent="0.25">
      <c r="A1168" t="s">
        <v>431</v>
      </c>
    </row>
    <row r="1170" spans="1:2" x14ac:dyDescent="0.25">
      <c r="A1170" t="s">
        <v>290</v>
      </c>
    </row>
    <row r="1171" spans="1:2" x14ac:dyDescent="0.25">
      <c r="A1171" t="s">
        <v>291</v>
      </c>
    </row>
    <row r="1172" spans="1:2" x14ac:dyDescent="0.25">
      <c r="A1172" t="s">
        <v>292</v>
      </c>
    </row>
    <row r="1174" spans="1:2" x14ac:dyDescent="0.25">
      <c r="A1174" t="s">
        <v>312</v>
      </c>
      <c r="B1174" t="s">
        <v>313</v>
      </c>
    </row>
    <row r="1175" spans="1:2" x14ac:dyDescent="0.25">
      <c r="A1175" t="s">
        <v>310</v>
      </c>
      <c r="B1175" t="str">
        <f>"=Benefit not given"</f>
        <v>=Benefit not given</v>
      </c>
    </row>
    <row r="1176" spans="1:2" x14ac:dyDescent="0.25">
      <c r="A1176" t="s">
        <v>432</v>
      </c>
    </row>
    <row r="1178" spans="1:2" x14ac:dyDescent="0.25">
      <c r="A1178" t="s">
        <v>313</v>
      </c>
      <c r="B1178" t="s">
        <v>315</v>
      </c>
    </row>
    <row r="1179" spans="1:2" x14ac:dyDescent="0.25">
      <c r="A1179" t="str">
        <f>"=Benefit not given"</f>
        <v>=Benefit not given</v>
      </c>
      <c r="B1179" t="s">
        <v>291</v>
      </c>
    </row>
    <row r="1180" spans="1:2" x14ac:dyDescent="0.25">
      <c r="A1180" t="s">
        <v>433</v>
      </c>
    </row>
    <row r="1182" spans="1:2" x14ac:dyDescent="0.25">
      <c r="A1182" t="s">
        <v>313</v>
      </c>
      <c r="B1182" t="s">
        <v>317</v>
      </c>
    </row>
    <row r="1183" spans="1:2" x14ac:dyDescent="0.25">
      <c r="A1183" t="str">
        <f>"=Benefit not given"</f>
        <v>=Benefit not given</v>
      </c>
      <c r="B1183" t="s">
        <v>291</v>
      </c>
    </row>
    <row r="1184" spans="1:2" x14ac:dyDescent="0.25">
      <c r="A1184" t="s">
        <v>434</v>
      </c>
    </row>
    <row r="1186" spans="1:2" x14ac:dyDescent="0.25">
      <c r="A1186" t="s">
        <v>312</v>
      </c>
      <c r="B1186" t="s">
        <v>313</v>
      </c>
    </row>
    <row r="1187" spans="1:2" x14ac:dyDescent="0.25">
      <c r="A1187" t="s">
        <v>310</v>
      </c>
      <c r="B1187" t="str">
        <f>"=House to Non full time service Director"</f>
        <v>=House to Non full time service Director</v>
      </c>
    </row>
    <row r="1188" spans="1:2" x14ac:dyDescent="0.25">
      <c r="A1188" t="s">
        <v>435</v>
      </c>
    </row>
    <row r="1190" spans="1:2" x14ac:dyDescent="0.25">
      <c r="A1190" t="s">
        <v>313</v>
      </c>
      <c r="B1190" t="s">
        <v>315</v>
      </c>
    </row>
    <row r="1191" spans="1:2" x14ac:dyDescent="0.25">
      <c r="A1191" t="str">
        <f>"=House to Non full time service Director"</f>
        <v>=House to Non full time service Director</v>
      </c>
      <c r="B1191" t="s">
        <v>291</v>
      </c>
    </row>
    <row r="1192" spans="1:2" x14ac:dyDescent="0.25">
      <c r="A1192" t="s">
        <v>320</v>
      </c>
    </row>
    <row r="1194" spans="1:2" x14ac:dyDescent="0.25">
      <c r="A1194" t="s">
        <v>313</v>
      </c>
      <c r="B1194" t="s">
        <v>317</v>
      </c>
    </row>
    <row r="1195" spans="1:2" x14ac:dyDescent="0.25">
      <c r="A1195" t="str">
        <f>"=House to Non full time service Director"</f>
        <v>=House to Non full time service Director</v>
      </c>
      <c r="B1195" t="s">
        <v>291</v>
      </c>
    </row>
    <row r="1196" spans="1:2" x14ac:dyDescent="0.25">
      <c r="A1196" t="s">
        <v>321</v>
      </c>
    </row>
    <row r="1198" spans="1:2" x14ac:dyDescent="0.25">
      <c r="A1198" t="s">
        <v>313</v>
      </c>
      <c r="B1198" t="s">
        <v>315</v>
      </c>
    </row>
    <row r="1199" spans="1:2" x14ac:dyDescent="0.25">
      <c r="A1199" t="s">
        <v>323</v>
      </c>
      <c r="B1199" t="s">
        <v>310</v>
      </c>
    </row>
    <row r="1200" spans="1:2" x14ac:dyDescent="0.25">
      <c r="A1200" t="s">
        <v>322</v>
      </c>
    </row>
    <row r="1202" spans="1:2" x14ac:dyDescent="0.25">
      <c r="A1202" t="s">
        <v>313</v>
      </c>
      <c r="B1202" t="s">
        <v>317</v>
      </c>
    </row>
    <row r="1203" spans="1:2" x14ac:dyDescent="0.25">
      <c r="A1203" t="s">
        <v>323</v>
      </c>
      <c r="B1203" t="s">
        <v>310</v>
      </c>
    </row>
    <row r="1204" spans="1:2" x14ac:dyDescent="0.25">
      <c r="A1204" t="s">
        <v>324</v>
      </c>
    </row>
    <row r="1206" spans="1:2" x14ac:dyDescent="0.25">
      <c r="A1206" t="s">
        <v>312</v>
      </c>
      <c r="B1206" t="s">
        <v>313</v>
      </c>
    </row>
    <row r="1207" spans="1:2" x14ac:dyDescent="0.25">
      <c r="A1207" t="s">
        <v>291</v>
      </c>
      <c r="B1207" t="s">
        <v>323</v>
      </c>
    </row>
    <row r="1208" spans="1:2" x14ac:dyDescent="0.25">
      <c r="A1208" t="s">
        <v>436</v>
      </c>
    </row>
    <row r="1210" spans="1:2" x14ac:dyDescent="0.25">
      <c r="A1210" t="s">
        <v>313</v>
      </c>
      <c r="B1210" t="s">
        <v>315</v>
      </c>
    </row>
    <row r="1211" spans="1:2" x14ac:dyDescent="0.25">
      <c r="A1211" t="s">
        <v>437</v>
      </c>
      <c r="B1211" t="s">
        <v>310</v>
      </c>
    </row>
    <row r="1212" spans="1:2" x14ac:dyDescent="0.25">
      <c r="A1212" t="s">
        <v>326</v>
      </c>
    </row>
    <row r="1214" spans="1:2" x14ac:dyDescent="0.25">
      <c r="A1214" t="s">
        <v>313</v>
      </c>
      <c r="B1214" t="s">
        <v>317</v>
      </c>
    </row>
    <row r="1215" spans="1:2" x14ac:dyDescent="0.25">
      <c r="A1215" t="s">
        <v>437</v>
      </c>
      <c r="B1215" t="s">
        <v>310</v>
      </c>
    </row>
    <row r="1216" spans="1:2" x14ac:dyDescent="0.25">
      <c r="A1216" t="s">
        <v>327</v>
      </c>
    </row>
    <row r="1218" spans="1:2" x14ac:dyDescent="0.25">
      <c r="A1218" t="s">
        <v>312</v>
      </c>
      <c r="B1218" t="s">
        <v>313</v>
      </c>
    </row>
    <row r="1219" spans="1:2" x14ac:dyDescent="0.25">
      <c r="A1219" t="s">
        <v>291</v>
      </c>
      <c r="B1219" t="s">
        <v>437</v>
      </c>
    </row>
    <row r="1220" spans="1:2" x14ac:dyDescent="0.25">
      <c r="A1220" t="s">
        <v>438</v>
      </c>
    </row>
    <row r="1222" spans="1:2" x14ac:dyDescent="0.25">
      <c r="A1222" t="s">
        <v>312</v>
      </c>
      <c r="B1222" t="s">
        <v>313</v>
      </c>
    </row>
    <row r="1223" spans="1:2" x14ac:dyDescent="0.25">
      <c r="A1223" t="s">
        <v>291</v>
      </c>
      <c r="B1223" t="str">
        <f>"=Agriculture Farm"</f>
        <v>=Agriculture Farm</v>
      </c>
    </row>
    <row r="1224" spans="1:2" x14ac:dyDescent="0.25">
      <c r="A1224" t="s">
        <v>439</v>
      </c>
    </row>
    <row r="1226" spans="1:2" x14ac:dyDescent="0.25">
      <c r="A1226" t="s">
        <v>366</v>
      </c>
    </row>
    <row r="1227" spans="1:2" x14ac:dyDescent="0.25">
      <c r="A1227" t="s">
        <v>310</v>
      </c>
    </row>
    <row r="1228" spans="1:2" x14ac:dyDescent="0.25">
      <c r="A1228" t="s">
        <v>367</v>
      </c>
    </row>
    <row r="1230" spans="1:2" x14ac:dyDescent="0.25">
      <c r="A1230" t="s">
        <v>313</v>
      </c>
      <c r="B1230" t="s">
        <v>315</v>
      </c>
    </row>
    <row r="1231" spans="1:2" x14ac:dyDescent="0.25">
      <c r="A1231" t="str">
        <f>"=Agriculture Farm"</f>
        <v>=Agriculture Farm</v>
      </c>
      <c r="B1231" t="s">
        <v>291</v>
      </c>
    </row>
    <row r="1232" spans="1:2" x14ac:dyDescent="0.25">
      <c r="A1232" t="s">
        <v>330</v>
      </c>
    </row>
    <row r="1234" spans="1:2" x14ac:dyDescent="0.25">
      <c r="A1234" t="s">
        <v>313</v>
      </c>
      <c r="B1234" t="s">
        <v>317</v>
      </c>
    </row>
    <row r="1235" spans="1:2" x14ac:dyDescent="0.25">
      <c r="A1235" t="str">
        <f>"=Agriculture Farm"</f>
        <v>=Agriculture Farm</v>
      </c>
      <c r="B1235" t="s">
        <v>291</v>
      </c>
    </row>
    <row r="1236" spans="1:2" x14ac:dyDescent="0.25">
      <c r="A1236" t="s">
        <v>331</v>
      </c>
    </row>
    <row r="1238" spans="1:2" x14ac:dyDescent="0.25">
      <c r="A1238" t="s">
        <v>313</v>
      </c>
      <c r="B1238" t="s">
        <v>440</v>
      </c>
    </row>
    <row r="1239" spans="1:2" x14ac:dyDescent="0.25">
      <c r="A1239" t="str">
        <f>"=Agriculture Farm"</f>
        <v>=Agriculture Farm</v>
      </c>
      <c r="B1239" t="s">
        <v>291</v>
      </c>
    </row>
    <row r="1240" spans="1:2" x14ac:dyDescent="0.25">
      <c r="A1240" t="s">
        <v>365</v>
      </c>
    </row>
    <row r="1242" spans="1:2" x14ac:dyDescent="0.25">
      <c r="A1242" t="s">
        <v>296</v>
      </c>
    </row>
    <row r="1243" spans="1:2" x14ac:dyDescent="0.25">
      <c r="A1243" t="s">
        <v>291</v>
      </c>
    </row>
    <row r="1244" spans="1:2" x14ac:dyDescent="0.25">
      <c r="A1244" t="s">
        <v>441</v>
      </c>
    </row>
    <row r="1246" spans="1:2" x14ac:dyDescent="0.25">
      <c r="A1246" t="s">
        <v>298</v>
      </c>
    </row>
    <row r="1247" spans="1:2" x14ac:dyDescent="0.25">
      <c r="A1247" t="s">
        <v>291</v>
      </c>
    </row>
    <row r="1248" spans="1:2" x14ac:dyDescent="0.25">
      <c r="A1248" t="s">
        <v>442</v>
      </c>
    </row>
    <row r="1250" spans="1:1" x14ac:dyDescent="0.25">
      <c r="A1250" t="s">
        <v>300</v>
      </c>
    </row>
    <row r="1251" spans="1:1" x14ac:dyDescent="0.25">
      <c r="A1251" t="s">
        <v>291</v>
      </c>
    </row>
    <row r="1252" spans="1:1" x14ac:dyDescent="0.25">
      <c r="A1252" t="s">
        <v>301</v>
      </c>
    </row>
    <row r="1254" spans="1:1" x14ac:dyDescent="0.25">
      <c r="A1254" t="s">
        <v>302</v>
      </c>
    </row>
    <row r="1255" spans="1:1" x14ac:dyDescent="0.25">
      <c r="A1255" t="s">
        <v>291</v>
      </c>
    </row>
    <row r="1256" spans="1:1" x14ac:dyDescent="0.25">
      <c r="A1256" t="s">
        <v>303</v>
      </c>
    </row>
    <row r="1258" spans="1:1" x14ac:dyDescent="0.25">
      <c r="A1258" t="s">
        <v>304</v>
      </c>
    </row>
    <row r="1259" spans="1:1" x14ac:dyDescent="0.25">
      <c r="A1259" t="s">
        <v>291</v>
      </c>
    </row>
    <row r="1260" spans="1:1" x14ac:dyDescent="0.25">
      <c r="A1260" t="s">
        <v>443</v>
      </c>
    </row>
    <row r="1262" spans="1:1" x14ac:dyDescent="0.25">
      <c r="A1262" t="s">
        <v>209</v>
      </c>
    </row>
    <row r="1263" spans="1:1" x14ac:dyDescent="0.25">
      <c r="A1263" t="s">
        <v>291</v>
      </c>
    </row>
    <row r="1264" spans="1:1" x14ac:dyDescent="0.25">
      <c r="A1264" t="s">
        <v>361</v>
      </c>
    </row>
    <row r="1266" spans="1:1" x14ac:dyDescent="0.25">
      <c r="A1266" t="s">
        <v>241</v>
      </c>
    </row>
    <row r="1267" spans="1:1" x14ac:dyDescent="0.25">
      <c r="A1267" t="s">
        <v>291</v>
      </c>
    </row>
    <row r="1268" spans="1:1" x14ac:dyDescent="0.25">
      <c r="A1268" t="s">
        <v>457</v>
      </c>
    </row>
    <row r="1270" spans="1:1" x14ac:dyDescent="0.25">
      <c r="A1270" t="s">
        <v>337</v>
      </c>
    </row>
    <row r="1271" spans="1:1" x14ac:dyDescent="0.25">
      <c r="A1271" t="s">
        <v>291</v>
      </c>
    </row>
    <row r="1272" spans="1:1" x14ac:dyDescent="0.25">
      <c r="A1272" t="s">
        <v>363</v>
      </c>
    </row>
    <row r="1274" spans="1:1" x14ac:dyDescent="0.25">
      <c r="A1274" t="s">
        <v>246</v>
      </c>
    </row>
    <row r="1275" spans="1:1" x14ac:dyDescent="0.25">
      <c r="A1275" t="s">
        <v>291</v>
      </c>
    </row>
    <row r="1276" spans="1:1" x14ac:dyDescent="0.25">
      <c r="A1276" t="s">
        <v>364</v>
      </c>
    </row>
    <row r="1278" spans="1:1" x14ac:dyDescent="0.25">
      <c r="A1278" t="s">
        <v>135</v>
      </c>
    </row>
    <row r="1279" spans="1:1" x14ac:dyDescent="0.25">
      <c r="A1279" t="s">
        <v>291</v>
      </c>
    </row>
    <row r="1280" spans="1:1" x14ac:dyDescent="0.25">
      <c r="A1280" t="s">
        <v>458</v>
      </c>
    </row>
    <row r="1282" spans="1:3" x14ac:dyDescent="0.25">
      <c r="A1282" t="s">
        <v>132</v>
      </c>
    </row>
    <row r="1283" spans="1:3" x14ac:dyDescent="0.25">
      <c r="A1283" t="s">
        <v>310</v>
      </c>
    </row>
    <row r="1284" spans="1:3" x14ac:dyDescent="0.25">
      <c r="A1284" s="127" t="s">
        <v>1120</v>
      </c>
    </row>
    <row r="1286" spans="1:3" x14ac:dyDescent="0.25">
      <c r="A1286" t="s">
        <v>282</v>
      </c>
      <c r="B1286" t="s">
        <v>286</v>
      </c>
      <c r="C1286" t="s">
        <v>332</v>
      </c>
    </row>
    <row r="1287" spans="1:3" x14ac:dyDescent="0.25">
      <c r="A1287" t="str">
        <f>"=Resident"</f>
        <v>=Resident</v>
      </c>
      <c r="B1287" t="str">
        <f>"=Primary Employee"</f>
        <v>=Primary Employee</v>
      </c>
      <c r="C1287" t="s">
        <v>310</v>
      </c>
    </row>
    <row r="1288" spans="1:3" x14ac:dyDescent="0.25">
      <c r="A1288" t="s">
        <v>368</v>
      </c>
    </row>
    <row r="1290" spans="1:3" x14ac:dyDescent="0.25">
      <c r="A1290" t="s">
        <v>282</v>
      </c>
      <c r="B1290" t="s">
        <v>286</v>
      </c>
      <c r="C1290" t="s">
        <v>206</v>
      </c>
    </row>
    <row r="1291" spans="1:3" x14ac:dyDescent="0.25">
      <c r="A1291" t="str">
        <f>"=Resident"</f>
        <v>=Resident</v>
      </c>
      <c r="B1291" t="str">
        <f>"=Primary Employee"</f>
        <v>=Primary Employee</v>
      </c>
      <c r="C1291" t="s">
        <v>310</v>
      </c>
    </row>
    <row r="1292" spans="1:3" x14ac:dyDescent="0.25">
      <c r="A1292" t="s">
        <v>334</v>
      </c>
    </row>
    <row r="1294" spans="1:3" x14ac:dyDescent="0.25">
      <c r="A1294" t="s">
        <v>282</v>
      </c>
      <c r="B1294" t="s">
        <v>286</v>
      </c>
      <c r="C1294" t="s">
        <v>335</v>
      </c>
    </row>
    <row r="1295" spans="1:3" x14ac:dyDescent="0.25">
      <c r="A1295" t="str">
        <f>"=Resident"</f>
        <v>=Resident</v>
      </c>
      <c r="B1295" t="str">
        <f>"=Primary Employee"</f>
        <v>=Primary Employee</v>
      </c>
      <c r="C1295" t="s">
        <v>310</v>
      </c>
    </row>
    <row r="1296" spans="1:3" x14ac:dyDescent="0.25">
      <c r="A1296" t="s">
        <v>336</v>
      </c>
    </row>
    <row r="1298" spans="1:5" x14ac:dyDescent="0.25">
      <c r="A1298" t="s">
        <v>282</v>
      </c>
      <c r="B1298" t="s">
        <v>286</v>
      </c>
      <c r="C1298" t="s">
        <v>133</v>
      </c>
    </row>
    <row r="1299" spans="1:5" x14ac:dyDescent="0.25">
      <c r="A1299" t="str">
        <f>"=Resident"</f>
        <v>=Resident</v>
      </c>
      <c r="B1299" t="str">
        <f>"=Primary Employee"</f>
        <v>=Primary Employee</v>
      </c>
      <c r="C1299" t="s">
        <v>310</v>
      </c>
    </row>
    <row r="1300" spans="1:5" x14ac:dyDescent="0.25">
      <c r="A1300" t="s">
        <v>369</v>
      </c>
    </row>
    <row r="1302" spans="1:5" x14ac:dyDescent="0.25">
      <c r="A1302" t="s">
        <v>313</v>
      </c>
      <c r="B1302" t="s">
        <v>313</v>
      </c>
      <c r="C1302" t="s">
        <v>313</v>
      </c>
      <c r="D1302" t="s">
        <v>313</v>
      </c>
      <c r="E1302" t="s">
        <v>313</v>
      </c>
    </row>
    <row r="1303" spans="1:5" x14ac:dyDescent="0.25">
      <c r="A1303" t="s">
        <v>963</v>
      </c>
      <c r="B1303" t="s">
        <v>964</v>
      </c>
      <c r="C1303" t="s">
        <v>965</v>
      </c>
      <c r="D1303" t="s">
        <v>966</v>
      </c>
      <c r="E1303" t="s">
        <v>967</v>
      </c>
    </row>
    <row r="1304" spans="1:5" x14ac:dyDescent="0.25">
      <c r="A1304" t="s">
        <v>968</v>
      </c>
    </row>
    <row r="1306" spans="1:5" x14ac:dyDescent="0.25">
      <c r="A1306" t="s">
        <v>282</v>
      </c>
      <c r="B1306" t="s">
        <v>286</v>
      </c>
      <c r="C1306" t="s">
        <v>332</v>
      </c>
    </row>
    <row r="1307" spans="1:5" x14ac:dyDescent="0.25">
      <c r="A1307" t="str">
        <f>"=Non-Resident"</f>
        <v>=Non-Resident</v>
      </c>
      <c r="B1307" t="str">
        <f>"=Primary Employee"</f>
        <v>=Primary Employee</v>
      </c>
      <c r="C1307" t="s">
        <v>291</v>
      </c>
    </row>
    <row r="1308" spans="1:5" x14ac:dyDescent="0.25">
      <c r="A1308" t="s">
        <v>1071</v>
      </c>
    </row>
    <row r="1310" spans="1:5" x14ac:dyDescent="0.25">
      <c r="A1310" t="s">
        <v>282</v>
      </c>
      <c r="B1310" t="s">
        <v>286</v>
      </c>
      <c r="C1310" t="s">
        <v>206</v>
      </c>
    </row>
    <row r="1311" spans="1:5" x14ac:dyDescent="0.25">
      <c r="A1311" t="str">
        <f>"=Non-Resident"</f>
        <v>=Non-Resident</v>
      </c>
      <c r="B1311" t="str">
        <f>"=Primary Employee"</f>
        <v>=Primary Employee</v>
      </c>
      <c r="C1311" t="s">
        <v>310</v>
      </c>
    </row>
    <row r="1312" spans="1:5" x14ac:dyDescent="0.25">
      <c r="A1312" t="s">
        <v>1072</v>
      </c>
    </row>
    <row r="1314" spans="1:3" x14ac:dyDescent="0.25">
      <c r="A1314" t="s">
        <v>282</v>
      </c>
      <c r="B1314" t="s">
        <v>286</v>
      </c>
      <c r="C1314" t="s">
        <v>335</v>
      </c>
    </row>
    <row r="1315" spans="1:3" x14ac:dyDescent="0.25">
      <c r="A1315" t="str">
        <f>"=Non-Resident"</f>
        <v>=Non-Resident</v>
      </c>
      <c r="B1315" t="str">
        <f>"=Primary Employee"</f>
        <v>=Primary Employee</v>
      </c>
      <c r="C1315" t="s">
        <v>310</v>
      </c>
    </row>
    <row r="1316" spans="1:3" x14ac:dyDescent="0.25">
      <c r="A1316" t="s">
        <v>1036</v>
      </c>
    </row>
    <row r="1318" spans="1:3" x14ac:dyDescent="0.25">
      <c r="A1318" t="s">
        <v>282</v>
      </c>
      <c r="B1318" t="s">
        <v>286</v>
      </c>
      <c r="C1318" t="s">
        <v>133</v>
      </c>
    </row>
    <row r="1319" spans="1:3" x14ac:dyDescent="0.25">
      <c r="A1319" t="str">
        <f>"=Non-Resident"</f>
        <v>=Non-Resident</v>
      </c>
      <c r="B1319" t="str">
        <f>"=Primary Employee"</f>
        <v>=Primary Employee</v>
      </c>
      <c r="C1319" t="s">
        <v>291</v>
      </c>
    </row>
    <row r="1320" spans="1:3" x14ac:dyDescent="0.25">
      <c r="A1320" t="s">
        <v>1075</v>
      </c>
    </row>
    <row r="1322" spans="1:3" x14ac:dyDescent="0.25">
      <c r="A1322" t="s">
        <v>286</v>
      </c>
      <c r="B1322" t="s">
        <v>332</v>
      </c>
    </row>
    <row r="1323" spans="1:3" x14ac:dyDescent="0.25">
      <c r="A1323" t="str">
        <f>"=Secondary Employee"</f>
        <v>=Secondary Employee</v>
      </c>
      <c r="B1323" t="s">
        <v>291</v>
      </c>
    </row>
    <row r="1324" spans="1:3" x14ac:dyDescent="0.25">
      <c r="A1324" t="s">
        <v>1037</v>
      </c>
    </row>
    <row r="1326" spans="1:3" x14ac:dyDescent="0.25">
      <c r="A1326" t="s">
        <v>286</v>
      </c>
      <c r="B1326" t="s">
        <v>206</v>
      </c>
    </row>
    <row r="1327" spans="1:3" x14ac:dyDescent="0.25">
      <c r="A1327" t="str">
        <f>"=Secondary Employee"</f>
        <v>=Secondary Employee</v>
      </c>
      <c r="B1327" t="s">
        <v>291</v>
      </c>
    </row>
    <row r="1328" spans="1:3" x14ac:dyDescent="0.25">
      <c r="A1328" t="s">
        <v>1038</v>
      </c>
    </row>
    <row r="1330" spans="1:2" x14ac:dyDescent="0.25">
      <c r="A1330" t="s">
        <v>286</v>
      </c>
      <c r="B1330" t="s">
        <v>335</v>
      </c>
    </row>
    <row r="1331" spans="1:2" x14ac:dyDescent="0.25">
      <c r="A1331" t="str">
        <f>"=Secondary Employee"</f>
        <v>=Secondary Employee</v>
      </c>
      <c r="B1331" t="s">
        <v>291</v>
      </c>
    </row>
    <row r="1332" spans="1:2" x14ac:dyDescent="0.25">
      <c r="A1332" t="s">
        <v>1039</v>
      </c>
    </row>
    <row r="1334" spans="1:2" x14ac:dyDescent="0.25">
      <c r="A1334" t="s">
        <v>286</v>
      </c>
      <c r="B1334" t="s">
        <v>133</v>
      </c>
    </row>
    <row r="1335" spans="1:2" x14ac:dyDescent="0.25">
      <c r="A1335" t="str">
        <f>"=Secondary Employee"</f>
        <v>=Secondary Employee</v>
      </c>
      <c r="B1335" t="s">
        <v>291</v>
      </c>
    </row>
    <row r="1336" spans="1:2" x14ac:dyDescent="0.25">
      <c r="A1336" t="s">
        <v>1047</v>
      </c>
    </row>
    <row r="1338" spans="1:2" x14ac:dyDescent="0.25">
      <c r="A1338" t="s">
        <v>282</v>
      </c>
      <c r="B1338" t="s">
        <v>212</v>
      </c>
    </row>
    <row r="1339" spans="1:2" x14ac:dyDescent="0.25">
      <c r="A1339" t="str">
        <f>"=Resident"</f>
        <v>=Resident</v>
      </c>
      <c r="B1339" t="s">
        <v>310</v>
      </c>
    </row>
    <row r="1340" spans="1:2" x14ac:dyDescent="0.25">
      <c r="A1340" t="s">
        <v>1065</v>
      </c>
    </row>
    <row r="1342" spans="1:2" x14ac:dyDescent="0.25">
      <c r="A1342" t="s">
        <v>282</v>
      </c>
      <c r="B1342" t="s">
        <v>212</v>
      </c>
    </row>
    <row r="1343" spans="1:2" x14ac:dyDescent="0.25">
      <c r="A1343" t="str">
        <f>"=Non-Resident"</f>
        <v>=Non-Resident</v>
      </c>
      <c r="B1343" t="s">
        <v>291</v>
      </c>
    </row>
    <row r="1344" spans="1:2" x14ac:dyDescent="0.25">
      <c r="A1344" t="s">
        <v>1076</v>
      </c>
    </row>
    <row r="1346" spans="1:1" x14ac:dyDescent="0.25">
      <c r="A1346" t="s">
        <v>1084</v>
      </c>
    </row>
    <row r="1347" spans="1:1" x14ac:dyDescent="0.25">
      <c r="A1347" t="s">
        <v>310</v>
      </c>
    </row>
    <row r="1348" spans="1:1" x14ac:dyDescent="0.25">
      <c r="A1348" t="s">
        <v>1085</v>
      </c>
    </row>
    <row r="1350" spans="1:1" x14ac:dyDescent="0.25">
      <c r="A1350" t="s">
        <v>340</v>
      </c>
    </row>
    <row r="1351" spans="1:1" x14ac:dyDescent="0.25">
      <c r="A1351" t="str">
        <f>"=???????????????????????????????????????????????????*"</f>
        <v>=???????????????????????????????????????????????????*</v>
      </c>
    </row>
    <row r="1352" spans="1:1" x14ac:dyDescent="0.25">
      <c r="A1352" t="s">
        <v>1101</v>
      </c>
    </row>
    <row r="1354" spans="1:1" x14ac:dyDescent="0.25">
      <c r="A1354" t="s">
        <v>366</v>
      </c>
    </row>
    <row r="1355" spans="1:1" x14ac:dyDescent="0.25">
      <c r="A1355" t="str">
        <f>"=?????????????????????*"</f>
        <v>=?????????????????????*</v>
      </c>
    </row>
    <row r="1356" spans="1:1" x14ac:dyDescent="0.25">
      <c r="A1356" s="127" t="s">
        <v>1106</v>
      </c>
    </row>
    <row r="1358" spans="1:1" x14ac:dyDescent="0.25">
      <c r="A1358" t="s">
        <v>132</v>
      </c>
    </row>
    <row r="1359" spans="1:1" ht="14.25" customHeight="1" x14ac:dyDescent="0.25">
      <c r="A1359" t="s">
        <v>1017</v>
      </c>
    </row>
    <row r="1360" spans="1:1" x14ac:dyDescent="0.25">
      <c r="A1360" s="127" t="s">
        <v>1121</v>
      </c>
    </row>
    <row r="1362" spans="1:41" x14ac:dyDescent="0.25">
      <c r="A1362" t="s">
        <v>407</v>
      </c>
      <c r="B1362" t="s">
        <v>340</v>
      </c>
      <c r="C1362" t="s">
        <v>101</v>
      </c>
      <c r="D1362" t="s">
        <v>429</v>
      </c>
      <c r="E1362" t="s">
        <v>282</v>
      </c>
      <c r="F1362" t="s">
        <v>286</v>
      </c>
      <c r="G1362" t="s">
        <v>366</v>
      </c>
      <c r="H1362" t="s">
        <v>445</v>
      </c>
      <c r="I1362" t="s">
        <v>446</v>
      </c>
      <c r="J1362" t="s">
        <v>447</v>
      </c>
      <c r="K1362" t="s">
        <v>448</v>
      </c>
      <c r="L1362" t="s">
        <v>449</v>
      </c>
      <c r="M1362" t="s">
        <v>450</v>
      </c>
      <c r="N1362" t="s">
        <v>451</v>
      </c>
      <c r="O1362" t="s">
        <v>452</v>
      </c>
      <c r="P1362" t="s">
        <v>290</v>
      </c>
      <c r="Q1362" t="s">
        <v>1084</v>
      </c>
      <c r="R1362" t="s">
        <v>125</v>
      </c>
      <c r="S1362" t="s">
        <v>203</v>
      </c>
      <c r="T1362" t="s">
        <v>312</v>
      </c>
      <c r="U1362" t="s">
        <v>313</v>
      </c>
      <c r="V1362" t="s">
        <v>315</v>
      </c>
      <c r="W1362" t="s">
        <v>294</v>
      </c>
      <c r="X1362" t="s">
        <v>317</v>
      </c>
      <c r="Y1362" t="s">
        <v>296</v>
      </c>
      <c r="Z1362" t="s">
        <v>298</v>
      </c>
      <c r="AA1362" t="s">
        <v>300</v>
      </c>
      <c r="AB1362" t="s">
        <v>332</v>
      </c>
      <c r="AC1362" t="s">
        <v>302</v>
      </c>
      <c r="AD1362" t="s">
        <v>206</v>
      </c>
      <c r="AE1362" t="s">
        <v>335</v>
      </c>
      <c r="AF1362" t="s">
        <v>304</v>
      </c>
      <c r="AG1362" t="s">
        <v>209</v>
      </c>
      <c r="AH1362" t="s">
        <v>241</v>
      </c>
      <c r="AI1362" t="s">
        <v>337</v>
      </c>
      <c r="AJ1362" t="s">
        <v>133</v>
      </c>
      <c r="AK1362" t="s">
        <v>212</v>
      </c>
      <c r="AL1362" t="s">
        <v>246</v>
      </c>
      <c r="AM1362" t="s">
        <v>215</v>
      </c>
      <c r="AN1362" t="s">
        <v>135</v>
      </c>
      <c r="AO1362" t="s">
        <v>132</v>
      </c>
    </row>
    <row r="1385" spans="1:4" x14ac:dyDescent="0.25">
      <c r="A1385" t="s">
        <v>459</v>
      </c>
    </row>
    <row r="1386" spans="1:4" x14ac:dyDescent="0.25">
      <c r="A1386" t="s">
        <v>195</v>
      </c>
      <c r="B1386" t="s">
        <v>196</v>
      </c>
      <c r="C1386" t="s">
        <v>197</v>
      </c>
      <c r="D1386" t="s">
        <v>198</v>
      </c>
    </row>
    <row r="1387" spans="1:4" x14ac:dyDescent="0.25">
      <c r="A1387" t="s">
        <v>199</v>
      </c>
      <c r="B1387">
        <v>1401</v>
      </c>
      <c r="C1387" t="s">
        <v>460</v>
      </c>
      <c r="D1387" t="s">
        <v>317</v>
      </c>
    </row>
    <row r="1388" spans="1:4" x14ac:dyDescent="0.25">
      <c r="A1388" t="s">
        <v>201</v>
      </c>
      <c r="B1388">
        <v>1405</v>
      </c>
      <c r="C1388" t="s">
        <v>461</v>
      </c>
      <c r="D1388" t="s">
        <v>296</v>
      </c>
    </row>
    <row r="1389" spans="1:4" x14ac:dyDescent="0.25">
      <c r="A1389" t="s">
        <v>204</v>
      </c>
      <c r="B1389">
        <v>1409</v>
      </c>
      <c r="C1389" t="s">
        <v>205</v>
      </c>
      <c r="D1389" t="s">
        <v>312</v>
      </c>
    </row>
    <row r="1390" spans="1:4" x14ac:dyDescent="0.25">
      <c r="A1390" t="s">
        <v>207</v>
      </c>
      <c r="B1390">
        <v>1414</v>
      </c>
      <c r="C1390" t="s">
        <v>1020</v>
      </c>
      <c r="D1390" t="s">
        <v>294</v>
      </c>
    </row>
    <row r="1391" spans="1:4" x14ac:dyDescent="0.25">
      <c r="A1391" t="s">
        <v>210</v>
      </c>
      <c r="B1391">
        <v>1419</v>
      </c>
      <c r="C1391" t="s">
        <v>1021</v>
      </c>
      <c r="D1391" t="s">
        <v>296</v>
      </c>
    </row>
    <row r="1392" spans="1:4" x14ac:dyDescent="0.25">
      <c r="A1392" t="s">
        <v>213</v>
      </c>
      <c r="B1392">
        <v>1423</v>
      </c>
      <c r="C1392" t="s">
        <v>1100</v>
      </c>
      <c r="D1392" t="s">
        <v>349</v>
      </c>
    </row>
    <row r="1393" spans="1:4" x14ac:dyDescent="0.25">
      <c r="A1393" t="s">
        <v>216</v>
      </c>
      <c r="B1393">
        <v>1427</v>
      </c>
      <c r="C1393" t="s">
        <v>1113</v>
      </c>
      <c r="D1393" t="s">
        <v>125</v>
      </c>
    </row>
    <row r="1400" spans="1:4" x14ac:dyDescent="0.25">
      <c r="A1400" t="s">
        <v>125</v>
      </c>
    </row>
    <row r="1401" spans="1:4" x14ac:dyDescent="0.25">
      <c r="A1401" t="s">
        <v>291</v>
      </c>
    </row>
    <row r="1402" spans="1:4" x14ac:dyDescent="0.25">
      <c r="A1402" t="s">
        <v>462</v>
      </c>
    </row>
    <row r="1404" spans="1:4" x14ac:dyDescent="0.25">
      <c r="A1404" t="s">
        <v>203</v>
      </c>
    </row>
    <row r="1405" spans="1:4" x14ac:dyDescent="0.25">
      <c r="A1405" t="s">
        <v>310</v>
      </c>
    </row>
    <row r="1406" spans="1:4" x14ac:dyDescent="0.25">
      <c r="A1406" t="s">
        <v>463</v>
      </c>
    </row>
    <row r="1408" spans="1:4" x14ac:dyDescent="0.25">
      <c r="A1408" t="s">
        <v>290</v>
      </c>
    </row>
    <row r="1409" spans="1:2" x14ac:dyDescent="0.25">
      <c r="A1409" t="s">
        <v>310</v>
      </c>
    </row>
    <row r="1410" spans="1:2" x14ac:dyDescent="0.25">
      <c r="A1410" t="s">
        <v>464</v>
      </c>
    </row>
    <row r="1412" spans="1:2" x14ac:dyDescent="0.25">
      <c r="A1412" t="s">
        <v>349</v>
      </c>
      <c r="B1412" t="s">
        <v>349</v>
      </c>
    </row>
    <row r="1413" spans="1:2" x14ac:dyDescent="0.25">
      <c r="A1413" t="s">
        <v>1017</v>
      </c>
    </row>
    <row r="1414" spans="1:2" x14ac:dyDescent="0.25">
      <c r="B1414" t="s">
        <v>1018</v>
      </c>
    </row>
    <row r="1415" spans="1:2" x14ac:dyDescent="0.25">
      <c r="A1415" t="s">
        <v>1022</v>
      </c>
    </row>
    <row r="1417" spans="1:2" x14ac:dyDescent="0.25">
      <c r="A1417" t="s">
        <v>203</v>
      </c>
      <c r="B1417" t="s">
        <v>203</v>
      </c>
    </row>
    <row r="1418" spans="1:2" x14ac:dyDescent="0.25">
      <c r="A1418" t="s">
        <v>1017</v>
      </c>
    </row>
    <row r="1419" spans="1:2" x14ac:dyDescent="0.25">
      <c r="B1419" t="s">
        <v>1018</v>
      </c>
    </row>
    <row r="1420" spans="1:2" x14ac:dyDescent="0.25">
      <c r="A1420" t="s">
        <v>1019</v>
      </c>
    </row>
    <row r="1422" spans="1:2" x14ac:dyDescent="0.25">
      <c r="A1422" t="s">
        <v>340</v>
      </c>
    </row>
    <row r="1423" spans="1:2" x14ac:dyDescent="0.25">
      <c r="A1423" t="str">
        <f>"=???????????????????????????????????????????????????*"</f>
        <v>=???????????????????????????????????????????????????*</v>
      </c>
    </row>
    <row r="1424" spans="1:2" x14ac:dyDescent="0.25">
      <c r="A1424" t="s">
        <v>1101</v>
      </c>
    </row>
    <row r="1426" spans="1:8" x14ac:dyDescent="0.25">
      <c r="A1426" t="s">
        <v>1111</v>
      </c>
    </row>
    <row r="1427" spans="1:8" x14ac:dyDescent="0.25">
      <c r="A1427" t="str">
        <f>"=?????????????????????*"</f>
        <v>=?????????????????????*</v>
      </c>
    </row>
    <row r="1428" spans="1:8" x14ac:dyDescent="0.25">
      <c r="A1428" s="127" t="s">
        <v>1112</v>
      </c>
    </row>
    <row r="1430" spans="1:8" x14ac:dyDescent="0.25">
      <c r="A1430" t="s">
        <v>407</v>
      </c>
      <c r="B1430" t="s">
        <v>340</v>
      </c>
      <c r="C1430" t="s">
        <v>1111</v>
      </c>
      <c r="D1430" t="s">
        <v>466</v>
      </c>
      <c r="E1430" t="s">
        <v>467</v>
      </c>
      <c r="F1430" t="s">
        <v>349</v>
      </c>
      <c r="G1430" t="s">
        <v>125</v>
      </c>
      <c r="H1430" t="s">
        <v>203</v>
      </c>
    </row>
  </sheetData>
  <sheetProtection password="94AB"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2"/>
  <sheetViews>
    <sheetView topLeftCell="A10" workbookViewId="0">
      <selection activeCell="E12" sqref="E12"/>
    </sheetView>
  </sheetViews>
  <sheetFormatPr defaultRowHeight="16.5" x14ac:dyDescent="0.3"/>
  <cols>
    <col min="1" max="1" width="20" style="29" customWidth="1"/>
    <col min="2" max="2" width="27" style="29" customWidth="1"/>
    <col min="3" max="3" width="11.42578125" style="29" customWidth="1"/>
    <col min="4" max="4" width="11.5703125" style="29" customWidth="1"/>
    <col min="5" max="5" width="34.5703125" style="29" customWidth="1"/>
    <col min="6" max="6" width="35.140625" style="29" customWidth="1"/>
    <col min="7" max="8" width="26.42578125" style="29" customWidth="1"/>
    <col min="9" max="9" width="9.140625" style="29"/>
    <col min="10" max="10" width="45.42578125" style="29" customWidth="1"/>
    <col min="11" max="16384" width="9.140625" style="29"/>
  </cols>
  <sheetData>
    <row r="1" spans="1:10" x14ac:dyDescent="0.3">
      <c r="A1" s="29" t="s">
        <v>469</v>
      </c>
      <c r="B1" s="29" t="s">
        <v>340</v>
      </c>
      <c r="C1" s="29" t="s">
        <v>470</v>
      </c>
      <c r="D1" s="29" t="s">
        <v>471</v>
      </c>
      <c r="E1" s="29" t="s">
        <v>472</v>
      </c>
      <c r="F1" s="29" t="s">
        <v>473</v>
      </c>
      <c r="G1" s="29" t="s">
        <v>474</v>
      </c>
      <c r="H1" s="29" t="s">
        <v>473</v>
      </c>
      <c r="J1" s="29" t="s">
        <v>475</v>
      </c>
    </row>
    <row r="2" spans="1:10" ht="49.5" x14ac:dyDescent="0.3">
      <c r="A2" s="164" t="s">
        <v>476</v>
      </c>
      <c r="B2" s="165" t="s">
        <v>477</v>
      </c>
      <c r="C2" s="166">
        <v>11</v>
      </c>
      <c r="D2" s="166" t="s">
        <v>273</v>
      </c>
      <c r="E2" s="165" t="s">
        <v>478</v>
      </c>
      <c r="F2" s="165" t="str">
        <f t="shared" ref="F2:F7" si="0">CONCATENATE(B2,MsgMandat)</f>
        <v>Employer's Personal Identification Number is Mandatory field.</v>
      </c>
      <c r="G2" s="165" t="s">
        <v>479</v>
      </c>
      <c r="H2" s="165" t="s">
        <v>480</v>
      </c>
      <c r="I2" s="166"/>
      <c r="J2" s="167" t="s">
        <v>481</v>
      </c>
    </row>
    <row r="3" spans="1:10" ht="33" x14ac:dyDescent="0.3">
      <c r="A3" s="168" t="s">
        <v>476</v>
      </c>
      <c r="B3" s="169" t="s">
        <v>482</v>
      </c>
      <c r="C3" s="170">
        <v>25</v>
      </c>
      <c r="D3" s="170" t="s">
        <v>273</v>
      </c>
      <c r="E3" s="169" t="s">
        <v>483</v>
      </c>
      <c r="F3" s="169" t="str">
        <f t="shared" si="0"/>
        <v>Type of Return is Mandatory field.</v>
      </c>
      <c r="G3" s="169"/>
      <c r="H3" s="169"/>
      <c r="I3" s="170"/>
      <c r="J3" s="171" t="s">
        <v>481</v>
      </c>
    </row>
    <row r="4" spans="1:10" ht="33" x14ac:dyDescent="0.3">
      <c r="A4" s="168" t="s">
        <v>476</v>
      </c>
      <c r="B4" s="169" t="s">
        <v>484</v>
      </c>
      <c r="C4" s="170">
        <v>25</v>
      </c>
      <c r="D4" s="170" t="s">
        <v>273</v>
      </c>
      <c r="E4" s="169" t="s">
        <v>485</v>
      </c>
      <c r="F4" s="169" t="str">
        <f t="shared" si="0"/>
        <v>Entity Type is Mandatory field.</v>
      </c>
      <c r="G4" s="169"/>
      <c r="H4" s="169"/>
      <c r="I4" s="170"/>
      <c r="J4" s="171" t="s">
        <v>481</v>
      </c>
    </row>
    <row r="5" spans="1:10" ht="33" x14ac:dyDescent="0.3">
      <c r="A5" s="168" t="s">
        <v>476</v>
      </c>
      <c r="B5" s="169" t="s">
        <v>486</v>
      </c>
      <c r="C5" s="170">
        <v>25</v>
      </c>
      <c r="D5" s="170" t="s">
        <v>273</v>
      </c>
      <c r="E5" s="169" t="s">
        <v>487</v>
      </c>
      <c r="F5" s="169" t="str">
        <f t="shared" si="0"/>
        <v>Return Period From is Mandatory field.</v>
      </c>
      <c r="G5" s="169"/>
      <c r="H5" s="169"/>
      <c r="I5" s="170"/>
      <c r="J5" s="171" t="s">
        <v>481</v>
      </c>
    </row>
    <row r="6" spans="1:10" ht="33" x14ac:dyDescent="0.3">
      <c r="A6" s="172" t="s">
        <v>476</v>
      </c>
      <c r="B6" s="173" t="s">
        <v>488</v>
      </c>
      <c r="C6" s="174">
        <v>4</v>
      </c>
      <c r="D6" s="174" t="s">
        <v>273</v>
      </c>
      <c r="E6" s="173" t="s">
        <v>489</v>
      </c>
      <c r="F6" s="173" t="str">
        <f t="shared" si="0"/>
        <v>Return Period To is Mandatory field.</v>
      </c>
      <c r="G6" s="173"/>
      <c r="H6" s="173"/>
      <c r="I6" s="174"/>
      <c r="J6" s="175" t="s">
        <v>481</v>
      </c>
    </row>
    <row r="7" spans="1:10" ht="49.5" x14ac:dyDescent="0.3">
      <c r="A7" s="29" t="s">
        <v>490</v>
      </c>
      <c r="B7" s="30" t="s">
        <v>491</v>
      </c>
      <c r="C7" s="29">
        <v>15</v>
      </c>
      <c r="D7" s="29" t="s">
        <v>335</v>
      </c>
      <c r="E7" s="31" t="s">
        <v>492</v>
      </c>
      <c r="F7" s="30" t="str">
        <f t="shared" si="0"/>
        <v>Previous month PAYE Tax is Mandatory field.</v>
      </c>
      <c r="G7" s="30"/>
      <c r="H7" s="30"/>
      <c r="J7" s="29" t="s">
        <v>493</v>
      </c>
    </row>
    <row r="8" spans="1:10" ht="115.5" x14ac:dyDescent="0.3">
      <c r="A8" s="164" t="s">
        <v>494</v>
      </c>
      <c r="B8" s="166" t="s">
        <v>495</v>
      </c>
      <c r="C8" s="166">
        <v>15</v>
      </c>
      <c r="D8" s="166" t="s">
        <v>273</v>
      </c>
      <c r="E8" s="176" t="s">
        <v>496</v>
      </c>
      <c r="F8" s="165" t="str">
        <f>CONCATENATE(B8,MsgMandat)</f>
        <v>Section K : Details of PAYE Tax paid is Mandatory field.</v>
      </c>
      <c r="G8" s="165" t="s">
        <v>497</v>
      </c>
      <c r="H8" s="165" t="s">
        <v>498</v>
      </c>
      <c r="I8" s="166"/>
      <c r="J8" s="167" t="s">
        <v>495</v>
      </c>
    </row>
    <row r="9" spans="1:10" ht="198" x14ac:dyDescent="0.3">
      <c r="A9" s="168" t="s">
        <v>494</v>
      </c>
      <c r="B9" s="170" t="s">
        <v>495</v>
      </c>
      <c r="C9" s="170">
        <v>15</v>
      </c>
      <c r="D9" s="170" t="s">
        <v>273</v>
      </c>
      <c r="E9" s="177" t="s">
        <v>496</v>
      </c>
      <c r="F9" s="170" t="str">
        <f>CONCATENATE(B9,MsgMandat)</f>
        <v>Section K : Details of PAYE Tax paid is Mandatory field.</v>
      </c>
      <c r="G9" s="169" t="s">
        <v>499</v>
      </c>
      <c r="H9" s="169" t="s">
        <v>500</v>
      </c>
      <c r="I9" s="170"/>
      <c r="J9" s="171" t="s">
        <v>495</v>
      </c>
    </row>
    <row r="10" spans="1:10" ht="165" x14ac:dyDescent="0.3">
      <c r="A10" s="168" t="s">
        <v>494</v>
      </c>
      <c r="B10" s="170" t="s">
        <v>501</v>
      </c>
      <c r="C10" s="170">
        <v>15</v>
      </c>
      <c r="D10" s="170" t="s">
        <v>273</v>
      </c>
      <c r="E10" s="177" t="s">
        <v>496</v>
      </c>
      <c r="F10" s="170" t="str">
        <f>CONCATENATE(B10,MsgMandat)</f>
        <v>Section K2 : Self Assessment Tax is Mandatory field.</v>
      </c>
      <c r="G10" s="169" t="s">
        <v>502</v>
      </c>
      <c r="H10" s="169" t="s">
        <v>503</v>
      </c>
      <c r="I10" s="170"/>
      <c r="J10" s="171" t="s">
        <v>501</v>
      </c>
    </row>
    <row r="11" spans="1:10" ht="148.5" x14ac:dyDescent="0.3">
      <c r="A11" s="172" t="s">
        <v>494</v>
      </c>
      <c r="B11" s="174" t="s">
        <v>504</v>
      </c>
      <c r="C11" s="174">
        <v>15</v>
      </c>
      <c r="D11" s="174" t="s">
        <v>273</v>
      </c>
      <c r="E11" s="178" t="s">
        <v>496</v>
      </c>
      <c r="F11" s="174" t="str">
        <f>CONCATENATE(B11,MsgMandat)</f>
        <v>Section K1 : Advance Payment is Mandatory field.</v>
      </c>
      <c r="G11" s="173" t="s">
        <v>505</v>
      </c>
      <c r="H11" s="173" t="s">
        <v>506</v>
      </c>
      <c r="I11" s="174"/>
      <c r="J11" s="175" t="s">
        <v>504</v>
      </c>
    </row>
    <row r="12" spans="1:10" x14ac:dyDescent="0.3">
      <c r="A12" s="29" t="s">
        <v>824</v>
      </c>
      <c r="B12" s="29" t="s">
        <v>931</v>
      </c>
      <c r="C12" s="29">
        <v>0</v>
      </c>
      <c r="D12" s="29" t="s">
        <v>273</v>
      </c>
      <c r="E12" s="29" t="s">
        <v>1129</v>
      </c>
      <c r="F12" s="29" t="s">
        <v>1130</v>
      </c>
      <c r="J12" s="29" t="s">
        <v>829</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100"/>
  <sheetViews>
    <sheetView topLeftCell="C9" zoomScaleNormal="100" workbookViewId="0">
      <selection activeCell="F16" sqref="F16"/>
    </sheetView>
  </sheetViews>
  <sheetFormatPr defaultRowHeight="15" x14ac:dyDescent="0.25"/>
  <cols>
    <col min="1" max="1" width="30.5703125" customWidth="1"/>
    <col min="2" max="2" width="64" customWidth="1"/>
    <col min="3" max="3" width="42.5703125" customWidth="1"/>
    <col min="4" max="4" width="44" customWidth="1"/>
    <col min="5" max="5" width="23.85546875" customWidth="1"/>
    <col min="6" max="6" width="27.42578125" customWidth="1"/>
    <col min="7" max="7" width="24.42578125" customWidth="1"/>
    <col min="8" max="9" width="23.85546875" customWidth="1"/>
    <col min="10" max="10" width="28.7109375" customWidth="1"/>
    <col min="11" max="13" width="23.85546875" customWidth="1"/>
    <col min="14" max="14" width="27.5703125" customWidth="1"/>
    <col min="15" max="15" width="23.5703125" customWidth="1"/>
    <col min="16" max="16" width="27.140625" customWidth="1"/>
    <col min="17" max="17" width="22.5703125" customWidth="1"/>
    <col min="18" max="18" width="29" customWidth="1"/>
    <col min="19" max="19" width="29.42578125" customWidth="1"/>
    <col min="20" max="20" width="24.42578125" customWidth="1"/>
    <col min="21" max="21" width="27.42578125" customWidth="1"/>
    <col min="22" max="22" width="26.5703125" customWidth="1"/>
    <col min="23" max="23" width="27.28515625" customWidth="1"/>
    <col min="24" max="24" width="28.42578125" customWidth="1"/>
    <col min="25" max="25" width="27" customWidth="1"/>
    <col min="26" max="26" width="18.28515625" customWidth="1"/>
    <col min="27" max="27" width="19.42578125" customWidth="1"/>
    <col min="28" max="29" width="19" customWidth="1"/>
    <col min="30" max="30" width="56.42578125" customWidth="1"/>
    <col min="31" max="31" width="36.42578125" customWidth="1"/>
  </cols>
  <sheetData>
    <row r="1" spans="1:30" ht="30" x14ac:dyDescent="0.25">
      <c r="A1" s="26" t="s">
        <v>507</v>
      </c>
      <c r="B1" s="26" t="s">
        <v>508</v>
      </c>
      <c r="C1" s="26" t="s">
        <v>508</v>
      </c>
      <c r="D1" s="26" t="s">
        <v>508</v>
      </c>
      <c r="E1" s="26" t="s">
        <v>508</v>
      </c>
      <c r="F1" s="26" t="s">
        <v>508</v>
      </c>
      <c r="G1" s="26" t="s">
        <v>508</v>
      </c>
      <c r="H1" s="26" t="s">
        <v>508</v>
      </c>
      <c r="I1" s="26" t="s">
        <v>508</v>
      </c>
      <c r="J1" s="26" t="s">
        <v>508</v>
      </c>
      <c r="K1" s="26" t="s">
        <v>508</v>
      </c>
      <c r="L1" s="26" t="s">
        <v>508</v>
      </c>
      <c r="M1" s="26" t="s">
        <v>508</v>
      </c>
      <c r="N1" s="26" t="s">
        <v>508</v>
      </c>
      <c r="O1" s="26" t="s">
        <v>508</v>
      </c>
      <c r="P1" s="26" t="s">
        <v>508</v>
      </c>
      <c r="Q1" s="26" t="s">
        <v>508</v>
      </c>
      <c r="R1" s="26" t="s">
        <v>508</v>
      </c>
      <c r="S1" s="26" t="s">
        <v>508</v>
      </c>
      <c r="T1" s="26" t="s">
        <v>508</v>
      </c>
      <c r="U1" s="26" t="s">
        <v>508</v>
      </c>
      <c r="V1" s="26" t="s">
        <v>508</v>
      </c>
      <c r="W1" s="26" t="s">
        <v>508</v>
      </c>
      <c r="X1" s="26" t="s">
        <v>508</v>
      </c>
      <c r="Y1" s="26" t="s">
        <v>508</v>
      </c>
      <c r="Z1" s="26" t="s">
        <v>508</v>
      </c>
      <c r="AA1" s="26" t="s">
        <v>508</v>
      </c>
      <c r="AB1" s="32" t="s">
        <v>508</v>
      </c>
      <c r="AC1" s="32"/>
      <c r="AD1" s="26" t="s">
        <v>475</v>
      </c>
    </row>
    <row r="2" spans="1:30" ht="41.25" customHeight="1" x14ac:dyDescent="0.25">
      <c r="A2" s="179" t="s">
        <v>56</v>
      </c>
      <c r="B2" s="180" t="s">
        <v>407</v>
      </c>
      <c r="C2" s="180" t="s">
        <v>509</v>
      </c>
      <c r="D2" s="181" t="s">
        <v>510</v>
      </c>
      <c r="E2" s="180" t="s">
        <v>511</v>
      </c>
      <c r="F2" s="180" t="s">
        <v>445</v>
      </c>
      <c r="G2" s="180" t="s">
        <v>446</v>
      </c>
      <c r="H2" s="180" t="s">
        <v>447</v>
      </c>
      <c r="I2" s="180" t="s">
        <v>448</v>
      </c>
      <c r="J2" s="180" t="s">
        <v>449</v>
      </c>
      <c r="K2" s="180" t="s">
        <v>450</v>
      </c>
      <c r="L2" s="180" t="s">
        <v>451</v>
      </c>
      <c r="M2" s="180" t="s">
        <v>452</v>
      </c>
      <c r="N2" s="180" t="s">
        <v>512</v>
      </c>
      <c r="O2" s="180" t="s">
        <v>513</v>
      </c>
      <c r="P2" s="180" t="s">
        <v>514</v>
      </c>
      <c r="Q2" s="180" t="s">
        <v>515</v>
      </c>
      <c r="R2" s="180" t="s">
        <v>516</v>
      </c>
      <c r="S2" s="181" t="s">
        <v>517</v>
      </c>
      <c r="T2" s="180" t="s">
        <v>518</v>
      </c>
      <c r="U2" s="181" t="s">
        <v>519</v>
      </c>
      <c r="V2" s="181" t="s">
        <v>520</v>
      </c>
      <c r="W2" s="181" t="s">
        <v>521</v>
      </c>
      <c r="X2" s="181" t="s">
        <v>522</v>
      </c>
      <c r="Y2" s="180" t="s">
        <v>627</v>
      </c>
      <c r="Z2" s="161"/>
      <c r="AA2" s="161"/>
      <c r="AB2" s="161"/>
      <c r="AC2" s="161"/>
      <c r="AD2" s="182" t="s">
        <v>523</v>
      </c>
    </row>
    <row r="3" spans="1:30" x14ac:dyDescent="0.25">
      <c r="A3" s="145" t="s">
        <v>471</v>
      </c>
      <c r="B3" s="146" t="s">
        <v>273</v>
      </c>
      <c r="C3" s="146" t="s">
        <v>273</v>
      </c>
      <c r="D3" s="146" t="s">
        <v>273</v>
      </c>
      <c r="E3" s="146" t="s">
        <v>273</v>
      </c>
      <c r="F3" s="146" t="s">
        <v>273</v>
      </c>
      <c r="G3" s="146" t="s">
        <v>273</v>
      </c>
      <c r="H3" s="146" t="s">
        <v>273</v>
      </c>
      <c r="I3" s="146" t="s">
        <v>273</v>
      </c>
      <c r="J3" s="146" t="s">
        <v>273</v>
      </c>
      <c r="K3" s="146" t="s">
        <v>273</v>
      </c>
      <c r="L3" s="146" t="s">
        <v>273</v>
      </c>
      <c r="M3" s="146" t="s">
        <v>273</v>
      </c>
      <c r="N3" s="146" t="s">
        <v>273</v>
      </c>
      <c r="O3" s="146" t="s">
        <v>273</v>
      </c>
      <c r="P3" s="146" t="s">
        <v>273</v>
      </c>
      <c r="Q3" s="146" t="s">
        <v>273</v>
      </c>
      <c r="R3" s="146" t="s">
        <v>273</v>
      </c>
      <c r="S3" s="183" t="s">
        <v>273</v>
      </c>
      <c r="T3" s="146" t="s">
        <v>273</v>
      </c>
      <c r="U3" s="146" t="s">
        <v>273</v>
      </c>
      <c r="V3" s="146" t="s">
        <v>273</v>
      </c>
      <c r="W3" s="146" t="s">
        <v>273</v>
      </c>
      <c r="X3" s="146" t="s">
        <v>335</v>
      </c>
      <c r="Y3" s="194" t="s">
        <v>273</v>
      </c>
      <c r="Z3" s="146"/>
      <c r="AA3" s="146"/>
      <c r="AB3" s="146"/>
      <c r="AC3" s="146"/>
      <c r="AD3" s="159"/>
    </row>
    <row r="4" spans="1:30" x14ac:dyDescent="0.25">
      <c r="A4" s="145" t="s">
        <v>470</v>
      </c>
      <c r="B4" s="146"/>
      <c r="C4" s="146"/>
      <c r="D4" s="146"/>
      <c r="E4" s="146"/>
      <c r="F4" s="146"/>
      <c r="G4" s="146"/>
      <c r="H4" s="146"/>
      <c r="I4" s="146"/>
      <c r="J4" s="146"/>
      <c r="K4" s="146"/>
      <c r="L4" s="146"/>
      <c r="M4" s="146"/>
      <c r="N4" s="146"/>
      <c r="O4" s="146"/>
      <c r="P4" s="146"/>
      <c r="Q4" s="146"/>
      <c r="R4" s="146"/>
      <c r="S4" s="183"/>
      <c r="T4" s="146"/>
      <c r="U4" s="146"/>
      <c r="V4" s="146"/>
      <c r="W4" s="146"/>
      <c r="X4" s="146"/>
      <c r="Y4" s="146"/>
      <c r="Z4" s="146"/>
      <c r="AA4" s="146"/>
      <c r="AB4" s="146"/>
      <c r="AC4" s="146"/>
      <c r="AD4" s="159"/>
    </row>
    <row r="5" spans="1:30" ht="45" x14ac:dyDescent="0.25">
      <c r="A5" s="145" t="s">
        <v>472</v>
      </c>
      <c r="B5" s="183" t="s">
        <v>524</v>
      </c>
      <c r="C5" s="183" t="s">
        <v>525</v>
      </c>
      <c r="D5" s="183" t="s">
        <v>526</v>
      </c>
      <c r="E5" s="183" t="s">
        <v>527</v>
      </c>
      <c r="F5" s="183" t="s">
        <v>528</v>
      </c>
      <c r="G5" s="183" t="s">
        <v>529</v>
      </c>
      <c r="H5" s="183" t="s">
        <v>530</v>
      </c>
      <c r="I5" s="183" t="s">
        <v>531</v>
      </c>
      <c r="J5" s="183" t="s">
        <v>532</v>
      </c>
      <c r="K5" s="183" t="s">
        <v>533</v>
      </c>
      <c r="L5" s="183" t="s">
        <v>534</v>
      </c>
      <c r="M5" s="183" t="s">
        <v>535</v>
      </c>
      <c r="N5" s="183" t="s">
        <v>536</v>
      </c>
      <c r="O5" s="183" t="s">
        <v>537</v>
      </c>
      <c r="P5" s="183" t="s">
        <v>538</v>
      </c>
      <c r="Q5" s="183" t="s">
        <v>539</v>
      </c>
      <c r="R5" s="183" t="s">
        <v>540</v>
      </c>
      <c r="S5" s="183" t="s">
        <v>541</v>
      </c>
      <c r="T5" s="183" t="s">
        <v>542</v>
      </c>
      <c r="U5" s="183" t="s">
        <v>543</v>
      </c>
      <c r="V5" s="183" t="s">
        <v>544</v>
      </c>
      <c r="W5" s="183" t="s">
        <v>545</v>
      </c>
      <c r="X5" s="183" t="s">
        <v>546</v>
      </c>
      <c r="Y5" s="195" t="s">
        <v>1091</v>
      </c>
      <c r="Z5" s="146"/>
      <c r="AA5" s="146"/>
      <c r="AB5" s="146"/>
      <c r="AC5" s="146"/>
      <c r="AD5" s="159"/>
    </row>
    <row r="6" spans="1:30" ht="60" x14ac:dyDescent="0.25">
      <c r="A6" s="145" t="s">
        <v>473</v>
      </c>
      <c r="B6" s="183" t="str">
        <f t="shared" ref="B6:N6" si="0">CONCATENATE(B2,MsgMandat)</f>
        <v>PIN of Employee is Mandatory field.</v>
      </c>
      <c r="C6" s="183" t="str">
        <f t="shared" si="0"/>
        <v>Name of the  Employee is Mandatory field.</v>
      </c>
      <c r="D6" s="183" t="str">
        <f t="shared" si="0"/>
        <v>Residential Status is Mandatory field.</v>
      </c>
      <c r="E6" s="183" t="str">
        <f t="shared" si="0"/>
        <v>Type of Employee is Mandatory field.</v>
      </c>
      <c r="F6" s="183" t="str">
        <f t="shared" si="0"/>
        <v>Basic Salary is Mandatory field.</v>
      </c>
      <c r="G6" s="183" t="str">
        <f t="shared" si="0"/>
        <v>Housing Allowance is Mandatory field.</v>
      </c>
      <c r="H6" s="183" t="str">
        <f t="shared" si="0"/>
        <v>Transport Allowance is Mandatory field.</v>
      </c>
      <c r="I6" s="183" t="str">
        <f t="shared" si="0"/>
        <v>Leave Pay is Mandatory field.</v>
      </c>
      <c r="J6" s="183" t="str">
        <f t="shared" si="0"/>
        <v>Over Time Allowance is Mandatory field.</v>
      </c>
      <c r="K6" s="183" t="str">
        <f t="shared" si="0"/>
        <v>Director's Fee is Mandatory field.</v>
      </c>
      <c r="L6" s="183" t="str">
        <f t="shared" si="0"/>
        <v>Lump Sum Payment if any is Mandatory field.</v>
      </c>
      <c r="M6" s="183" t="str">
        <f t="shared" si="0"/>
        <v>Other Allowance is Mandatory field.</v>
      </c>
      <c r="N6" s="183" t="str">
        <f t="shared" si="0"/>
        <v>Other Non cash Benefits is Mandatory field.</v>
      </c>
      <c r="O6" s="183" t="str">
        <f t="shared" ref="O6:U6" si="1">CONCATENATE(O2,MsgMandat)</f>
        <v>Global Income (In case of non full time service Director) is Mandatory field.</v>
      </c>
      <c r="P6" s="183" t="str">
        <f t="shared" si="1"/>
        <v>Type of Housing is Mandatory field.</v>
      </c>
      <c r="Q6" s="183" t="str">
        <f t="shared" si="1"/>
        <v>Rent of House is Mandatory field.</v>
      </c>
      <c r="R6" s="183" t="str">
        <f t="shared" si="1"/>
        <v>Rent Recovered from Employee is Mandatory field.</v>
      </c>
      <c r="S6" s="183" t="str">
        <f t="shared" si="1"/>
        <v>Actual Contribution is Mandatory field.</v>
      </c>
      <c r="T6" s="183" t="str">
        <f t="shared" si="1"/>
        <v>Mortgage Interest is Mandatory field.</v>
      </c>
      <c r="U6" s="183" t="str">
        <f t="shared" si="1"/>
        <v>Deposit on Home Ownership Saving Plan is Mandatory field.</v>
      </c>
      <c r="V6" s="183" t="str">
        <f>CONCATENATE(V2,MsgMandat)</f>
        <v>Monthly Personal Relief is Mandatory field.</v>
      </c>
      <c r="W6" s="183" t="str">
        <f>CONCATENATE(W2,MsgMandat)</f>
        <v>Self Assessed PAYE Tax is Mandatory field.</v>
      </c>
      <c r="X6" s="183" t="str">
        <f>CONCATENATE(X2,MsgMandat)</f>
        <v>Amount of Insurance Relief is Mandatory field.</v>
      </c>
      <c r="Y6" s="195" t="s">
        <v>1093</v>
      </c>
      <c r="Z6" s="146"/>
      <c r="AA6" s="146"/>
      <c r="AB6" s="146"/>
      <c r="AC6" s="146"/>
      <c r="AD6" s="159"/>
    </row>
    <row r="7" spans="1:30" ht="45" x14ac:dyDescent="0.25">
      <c r="A7" s="145" t="s">
        <v>474</v>
      </c>
      <c r="B7" s="183" t="s">
        <v>547</v>
      </c>
      <c r="C7" s="183" t="s">
        <v>548</v>
      </c>
      <c r="D7" s="183"/>
      <c r="E7" s="183"/>
      <c r="F7" s="183" t="s">
        <v>549</v>
      </c>
      <c r="G7" s="183" t="s">
        <v>550</v>
      </c>
      <c r="H7" s="183" t="s">
        <v>551</v>
      </c>
      <c r="I7" s="183" t="s">
        <v>552</v>
      </c>
      <c r="J7" s="183" t="s">
        <v>553</v>
      </c>
      <c r="K7" s="183" t="s">
        <v>554</v>
      </c>
      <c r="L7" s="183" t="s">
        <v>555</v>
      </c>
      <c r="M7" s="183" t="s">
        <v>556</v>
      </c>
      <c r="N7" s="183" t="s">
        <v>557</v>
      </c>
      <c r="O7" s="183" t="s">
        <v>558</v>
      </c>
      <c r="P7" s="183"/>
      <c r="Q7" s="183" t="s">
        <v>559</v>
      </c>
      <c r="R7" s="183" t="s">
        <v>560</v>
      </c>
      <c r="S7" s="183" t="s">
        <v>561</v>
      </c>
      <c r="T7" s="183" t="s">
        <v>562</v>
      </c>
      <c r="U7" s="183" t="s">
        <v>563</v>
      </c>
      <c r="V7" s="183" t="s">
        <v>1132</v>
      </c>
      <c r="W7" s="183" t="s">
        <v>565</v>
      </c>
      <c r="X7" s="183" t="s">
        <v>566</v>
      </c>
      <c r="Y7" s="195" t="s">
        <v>564</v>
      </c>
      <c r="Z7" s="146"/>
      <c r="AA7" s="146"/>
      <c r="AB7" s="146"/>
      <c r="AC7" s="146"/>
      <c r="AD7" s="159"/>
    </row>
    <row r="8" spans="1:30" ht="45" x14ac:dyDescent="0.25">
      <c r="A8" s="147" t="s">
        <v>473</v>
      </c>
      <c r="B8" s="184" t="s">
        <v>1097</v>
      </c>
      <c r="C8" s="184" t="str">
        <f>MsgAlpNumSpl</f>
        <v>Please enter alphanumeric value. Only Special characters like (space , . / - :) are allowed.</v>
      </c>
      <c r="D8" s="184"/>
      <c r="E8" s="184" t="str">
        <f t="shared" ref="E8:N8" si="2">MsgNum</f>
        <v>Please enter numeric value only.</v>
      </c>
      <c r="F8" s="184" t="str">
        <f t="shared" si="2"/>
        <v>Please enter numeric value only.</v>
      </c>
      <c r="G8" s="184" t="str">
        <f t="shared" si="2"/>
        <v>Please enter numeric value only.</v>
      </c>
      <c r="H8" s="184" t="str">
        <f t="shared" si="2"/>
        <v>Please enter numeric value only.</v>
      </c>
      <c r="I8" s="184" t="str">
        <f t="shared" si="2"/>
        <v>Please enter numeric value only.</v>
      </c>
      <c r="J8" s="184" t="str">
        <f t="shared" si="2"/>
        <v>Please enter numeric value only.</v>
      </c>
      <c r="K8" s="184" t="str">
        <f t="shared" si="2"/>
        <v>Please enter numeric value only.</v>
      </c>
      <c r="L8" s="184" t="str">
        <f t="shared" si="2"/>
        <v>Please enter numeric value only.</v>
      </c>
      <c r="M8" s="184" t="str">
        <f t="shared" si="2"/>
        <v>Please enter numeric value only.</v>
      </c>
      <c r="N8" s="184" t="str">
        <f t="shared" si="2"/>
        <v>Please enter numeric value only.</v>
      </c>
      <c r="O8" s="184"/>
      <c r="P8" s="184" t="str">
        <f t="shared" ref="P8:W8" si="3">MsgNum</f>
        <v>Please enter numeric value only.</v>
      </c>
      <c r="Q8" s="184" t="str">
        <f t="shared" si="3"/>
        <v>Please enter numeric value only.</v>
      </c>
      <c r="R8" s="184" t="str">
        <f t="shared" si="3"/>
        <v>Please enter numeric value only.</v>
      </c>
      <c r="S8" s="184" t="str">
        <f t="shared" si="3"/>
        <v>Please enter numeric value only.</v>
      </c>
      <c r="T8" s="184" t="str">
        <f t="shared" si="3"/>
        <v>Please enter numeric value only.</v>
      </c>
      <c r="U8" s="184" t="str">
        <f t="shared" si="3"/>
        <v>Please enter numeric value only.</v>
      </c>
      <c r="V8" s="184" t="str">
        <f t="shared" si="3"/>
        <v>Please enter numeric value only.</v>
      </c>
      <c r="W8" s="184" t="str">
        <f t="shared" si="3"/>
        <v>Please enter numeric value only.</v>
      </c>
      <c r="X8" s="184" t="str">
        <f>MsgNum</f>
        <v>Please enter numeric value only.</v>
      </c>
      <c r="Y8" s="184" t="str">
        <f>MsgNum</f>
        <v>Please enter numeric value only.</v>
      </c>
      <c r="Z8" s="162"/>
      <c r="AA8" s="162"/>
      <c r="AB8" s="162"/>
      <c r="AC8" s="162"/>
      <c r="AD8" s="160"/>
    </row>
    <row r="10" spans="1:30" ht="30" x14ac:dyDescent="0.25">
      <c r="A10" s="179" t="s">
        <v>77</v>
      </c>
      <c r="B10" s="180" t="s">
        <v>407</v>
      </c>
      <c r="C10" s="180" t="s">
        <v>509</v>
      </c>
      <c r="D10" s="181" t="s">
        <v>510</v>
      </c>
      <c r="E10" s="180" t="s">
        <v>511</v>
      </c>
      <c r="F10" s="180" t="s">
        <v>567</v>
      </c>
      <c r="G10" s="180" t="s">
        <v>445</v>
      </c>
      <c r="H10" s="180" t="s">
        <v>446</v>
      </c>
      <c r="I10" s="180" t="s">
        <v>447</v>
      </c>
      <c r="J10" s="180" t="s">
        <v>448</v>
      </c>
      <c r="K10" s="180" t="s">
        <v>449</v>
      </c>
      <c r="L10" s="180" t="s">
        <v>450</v>
      </c>
      <c r="M10" s="180" t="s">
        <v>451</v>
      </c>
      <c r="N10" s="180" t="s">
        <v>452</v>
      </c>
      <c r="O10" s="180" t="s">
        <v>512</v>
      </c>
      <c r="P10" s="180" t="s">
        <v>513</v>
      </c>
      <c r="Q10" s="180" t="s">
        <v>514</v>
      </c>
      <c r="R10" s="180" t="s">
        <v>515</v>
      </c>
      <c r="S10" s="180" t="s">
        <v>516</v>
      </c>
      <c r="T10" s="181" t="s">
        <v>517</v>
      </c>
      <c r="U10" s="180" t="s">
        <v>518</v>
      </c>
      <c r="V10" s="181" t="s">
        <v>519</v>
      </c>
      <c r="W10" s="181" t="s">
        <v>520</v>
      </c>
      <c r="X10" s="181" t="s">
        <v>521</v>
      </c>
      <c r="Y10" s="181" t="s">
        <v>522</v>
      </c>
      <c r="Z10" s="181" t="s">
        <v>627</v>
      </c>
      <c r="AA10" s="161"/>
      <c r="AB10" s="161"/>
      <c r="AC10" s="161"/>
      <c r="AD10" s="182" t="s">
        <v>568</v>
      </c>
    </row>
    <row r="11" spans="1:30" x14ac:dyDescent="0.25">
      <c r="A11" s="145" t="s">
        <v>471</v>
      </c>
      <c r="B11" s="146" t="s">
        <v>273</v>
      </c>
      <c r="C11" s="146" t="s">
        <v>273</v>
      </c>
      <c r="D11" s="146" t="s">
        <v>273</v>
      </c>
      <c r="E11" s="146" t="s">
        <v>273</v>
      </c>
      <c r="F11" s="146" t="s">
        <v>273</v>
      </c>
      <c r="G11" s="146" t="s">
        <v>273</v>
      </c>
      <c r="H11" s="146" t="s">
        <v>273</v>
      </c>
      <c r="I11" s="146" t="s">
        <v>273</v>
      </c>
      <c r="J11" s="146" t="s">
        <v>273</v>
      </c>
      <c r="K11" s="146" t="s">
        <v>273</v>
      </c>
      <c r="L11" s="146" t="s">
        <v>273</v>
      </c>
      <c r="M11" s="146" t="s">
        <v>273</v>
      </c>
      <c r="N11" s="146" t="s">
        <v>273</v>
      </c>
      <c r="O11" s="146" t="s">
        <v>273</v>
      </c>
      <c r="P11" s="146" t="s">
        <v>273</v>
      </c>
      <c r="Q11" s="146" t="s">
        <v>273</v>
      </c>
      <c r="R11" s="146" t="s">
        <v>273</v>
      </c>
      <c r="S11" s="146" t="s">
        <v>273</v>
      </c>
      <c r="T11" s="183" t="s">
        <v>273</v>
      </c>
      <c r="U11" s="146" t="s">
        <v>273</v>
      </c>
      <c r="V11" s="146" t="s">
        <v>273</v>
      </c>
      <c r="W11" s="146" t="s">
        <v>273</v>
      </c>
      <c r="X11" s="146" t="s">
        <v>273</v>
      </c>
      <c r="Y11" s="146" t="s">
        <v>335</v>
      </c>
      <c r="Z11" s="146" t="s">
        <v>273</v>
      </c>
      <c r="AA11" s="146"/>
      <c r="AB11" s="146"/>
      <c r="AC11" s="146"/>
      <c r="AD11" s="159"/>
    </row>
    <row r="12" spans="1:30" x14ac:dyDescent="0.25">
      <c r="A12" s="145" t="s">
        <v>470</v>
      </c>
      <c r="B12" s="146"/>
      <c r="C12" s="146"/>
      <c r="D12" s="146"/>
      <c r="E12" s="146"/>
      <c r="F12" s="146"/>
      <c r="G12" s="146"/>
      <c r="H12" s="146"/>
      <c r="I12" s="146"/>
      <c r="J12" s="146"/>
      <c r="K12" s="146"/>
      <c r="L12" s="146"/>
      <c r="M12" s="146"/>
      <c r="N12" s="146"/>
      <c r="O12" s="146"/>
      <c r="P12" s="146"/>
      <c r="Q12" s="146"/>
      <c r="R12" s="146"/>
      <c r="S12" s="146"/>
      <c r="T12" s="183"/>
      <c r="U12" s="146"/>
      <c r="V12" s="146"/>
      <c r="W12" s="146"/>
      <c r="X12" s="146"/>
      <c r="Y12" s="146"/>
      <c r="Z12" s="146"/>
      <c r="AA12" s="146"/>
      <c r="AB12" s="146"/>
      <c r="AC12" s="146"/>
      <c r="AD12" s="159"/>
    </row>
    <row r="13" spans="1:30" ht="45" x14ac:dyDescent="0.25">
      <c r="A13" s="145" t="s">
        <v>472</v>
      </c>
      <c r="B13" s="146" t="s">
        <v>569</v>
      </c>
      <c r="C13" s="146" t="s">
        <v>570</v>
      </c>
      <c r="D13" s="146" t="s">
        <v>571</v>
      </c>
      <c r="E13" s="146" t="s">
        <v>572</v>
      </c>
      <c r="F13" s="146" t="s">
        <v>573</v>
      </c>
      <c r="G13" s="146" t="s">
        <v>574</v>
      </c>
      <c r="H13" s="146" t="s">
        <v>575</v>
      </c>
      <c r="I13" s="146" t="s">
        <v>576</v>
      </c>
      <c r="J13" s="146" t="s">
        <v>577</v>
      </c>
      <c r="K13" s="146" t="s">
        <v>578</v>
      </c>
      <c r="L13" s="146" t="s">
        <v>579</v>
      </c>
      <c r="M13" s="146" t="s">
        <v>580</v>
      </c>
      <c r="N13" s="146" t="s">
        <v>581</v>
      </c>
      <c r="O13" s="146" t="s">
        <v>582</v>
      </c>
      <c r="P13" s="146" t="s">
        <v>583</v>
      </c>
      <c r="Q13" s="146" t="s">
        <v>584</v>
      </c>
      <c r="R13" s="146" t="s">
        <v>585</v>
      </c>
      <c r="S13" s="146" t="s">
        <v>586</v>
      </c>
      <c r="T13" s="183" t="s">
        <v>587</v>
      </c>
      <c r="U13" s="146" t="s">
        <v>588</v>
      </c>
      <c r="V13" s="146" t="s">
        <v>589</v>
      </c>
      <c r="W13" s="146" t="s">
        <v>590</v>
      </c>
      <c r="X13" s="146" t="s">
        <v>591</v>
      </c>
      <c r="Y13" s="146" t="s">
        <v>592</v>
      </c>
      <c r="Z13" s="146" t="s">
        <v>1094</v>
      </c>
      <c r="AA13" s="146" t="s">
        <v>273</v>
      </c>
      <c r="AB13" s="146" t="s">
        <v>1092</v>
      </c>
      <c r="AC13" s="146"/>
      <c r="AD13" s="159"/>
    </row>
    <row r="14" spans="1:30" ht="45" x14ac:dyDescent="0.25">
      <c r="A14" s="145" t="s">
        <v>473</v>
      </c>
      <c r="B14" s="146" t="str">
        <f t="shared" ref="B14:W14" si="4">CONCATENATE(B10,MsgMandat)</f>
        <v>PIN of Employee is Mandatory field.</v>
      </c>
      <c r="C14" s="183" t="str">
        <f t="shared" si="4"/>
        <v>Name of the  Employee is Mandatory field.</v>
      </c>
      <c r="D14" s="183" t="str">
        <f t="shared" si="4"/>
        <v>Residential Status is Mandatory field.</v>
      </c>
      <c r="E14" s="146" t="str">
        <f t="shared" si="4"/>
        <v>Type of Employee is Mandatory field.</v>
      </c>
      <c r="F14" s="146" t="str">
        <f t="shared" si="4"/>
        <v>Exemption Certificate Number is Mandatory field.</v>
      </c>
      <c r="G14" s="146" t="str">
        <f t="shared" si="4"/>
        <v>Basic Salary is Mandatory field.</v>
      </c>
      <c r="H14" s="146" t="str">
        <f t="shared" si="4"/>
        <v>Housing Allowance is Mandatory field.</v>
      </c>
      <c r="I14" s="146" t="str">
        <f t="shared" si="4"/>
        <v>Transport Allowance is Mandatory field.</v>
      </c>
      <c r="J14" s="146" t="str">
        <f t="shared" si="4"/>
        <v>Leave Pay is Mandatory field.</v>
      </c>
      <c r="K14" s="146" t="str">
        <f t="shared" si="4"/>
        <v>Over Time Allowance is Mandatory field.</v>
      </c>
      <c r="L14" s="146" t="str">
        <f t="shared" si="4"/>
        <v>Director's Fee is Mandatory field.</v>
      </c>
      <c r="M14" s="146" t="str">
        <f t="shared" si="4"/>
        <v>Lump Sum Payment if any is Mandatory field.</v>
      </c>
      <c r="N14" s="146" t="str">
        <f t="shared" si="4"/>
        <v>Other Allowance is Mandatory field.</v>
      </c>
      <c r="O14" s="146" t="str">
        <f t="shared" si="4"/>
        <v>Other Non cash Benefits is Mandatory field.</v>
      </c>
      <c r="P14" s="146" t="str">
        <f t="shared" si="4"/>
        <v>Global Income (In case of non full time service Director) is Mandatory field.</v>
      </c>
      <c r="Q14" s="146" t="str">
        <f t="shared" si="4"/>
        <v>Type of Housing is Mandatory field.</v>
      </c>
      <c r="R14" s="146" t="str">
        <f t="shared" si="4"/>
        <v>Rent of House is Mandatory field.</v>
      </c>
      <c r="S14" s="146" t="str">
        <f t="shared" si="4"/>
        <v>Rent Recovered from Employee is Mandatory field.</v>
      </c>
      <c r="T14" s="183" t="str">
        <f t="shared" si="4"/>
        <v>Actual Contribution is Mandatory field.</v>
      </c>
      <c r="U14" s="183" t="str">
        <f t="shared" si="4"/>
        <v>Mortgage Interest is Mandatory field.</v>
      </c>
      <c r="V14" s="183" t="str">
        <f t="shared" si="4"/>
        <v>Deposit on Home Ownership Saving Plan is Mandatory field.</v>
      </c>
      <c r="W14" s="183" t="str">
        <f t="shared" si="4"/>
        <v>Monthly Personal Relief is Mandatory field.</v>
      </c>
      <c r="X14" s="183" t="str">
        <f>CONCATENATE(X10,MsgMandat)</f>
        <v>Self Assessed PAYE Tax is Mandatory field.</v>
      </c>
      <c r="Y14" s="183" t="str">
        <f>CONCATENATE(Y10,MsgMandat)</f>
        <v>Amount of Insurance Relief is Mandatory field.</v>
      </c>
      <c r="Z14" s="195" t="s">
        <v>1093</v>
      </c>
      <c r="AA14" s="146"/>
      <c r="AB14" s="146"/>
      <c r="AC14" s="146"/>
      <c r="AD14" s="159"/>
    </row>
    <row r="15" spans="1:30" ht="45" x14ac:dyDescent="0.25">
      <c r="A15" s="145" t="s">
        <v>474</v>
      </c>
      <c r="B15" s="146" t="s">
        <v>593</v>
      </c>
      <c r="C15" s="146" t="s">
        <v>594</v>
      </c>
      <c r="D15" s="183"/>
      <c r="E15" s="146"/>
      <c r="F15" s="146" t="s">
        <v>1150</v>
      </c>
      <c r="G15" s="146" t="s">
        <v>595</v>
      </c>
      <c r="H15" s="146" t="s">
        <v>596</v>
      </c>
      <c r="I15" s="146" t="s">
        <v>597</v>
      </c>
      <c r="J15" s="146" t="s">
        <v>598</v>
      </c>
      <c r="K15" s="146" t="s">
        <v>599</v>
      </c>
      <c r="L15" s="146" t="s">
        <v>600</v>
      </c>
      <c r="M15" s="146" t="s">
        <v>601</v>
      </c>
      <c r="N15" s="146" t="s">
        <v>602</v>
      </c>
      <c r="O15" s="146" t="s">
        <v>603</v>
      </c>
      <c r="P15" s="146" t="s">
        <v>604</v>
      </c>
      <c r="Q15" s="146"/>
      <c r="R15" s="146" t="s">
        <v>605</v>
      </c>
      <c r="S15" s="146" t="s">
        <v>606</v>
      </c>
      <c r="T15" s="183" t="s">
        <v>607</v>
      </c>
      <c r="U15" s="183" t="s">
        <v>608</v>
      </c>
      <c r="V15" s="183" t="s">
        <v>609</v>
      </c>
      <c r="W15" s="183" t="s">
        <v>610</v>
      </c>
      <c r="X15" s="183" t="s">
        <v>611</v>
      </c>
      <c r="Y15" s="146" t="s">
        <v>612</v>
      </c>
      <c r="Z15" s="146"/>
      <c r="AA15" s="146"/>
      <c r="AB15" s="146"/>
      <c r="AC15" s="146"/>
      <c r="AD15" s="159"/>
    </row>
    <row r="16" spans="1:30" ht="60" x14ac:dyDescent="0.25">
      <c r="A16" s="145" t="s">
        <v>473</v>
      </c>
      <c r="B16" s="146" t="s">
        <v>1097</v>
      </c>
      <c r="C16" s="183" t="str">
        <f>MsgAlpNumSpl</f>
        <v>Please enter alphanumeric value. Only Special characters like (space , . / - :) are allowed.</v>
      </c>
      <c r="D16" s="183"/>
      <c r="E16" s="146"/>
      <c r="F16" s="183" t="s">
        <v>168</v>
      </c>
      <c r="G16" s="146" t="str">
        <f t="shared" ref="G16:O16" si="5">MsgNum</f>
        <v>Please enter numeric value only.</v>
      </c>
      <c r="H16" s="146" t="str">
        <f t="shared" si="5"/>
        <v>Please enter numeric value only.</v>
      </c>
      <c r="I16" s="146" t="str">
        <f t="shared" si="5"/>
        <v>Please enter numeric value only.</v>
      </c>
      <c r="J16" s="146" t="str">
        <f t="shared" si="5"/>
        <v>Please enter numeric value only.</v>
      </c>
      <c r="K16" s="146" t="str">
        <f t="shared" si="5"/>
        <v>Please enter numeric value only.</v>
      </c>
      <c r="L16" s="146" t="str">
        <f t="shared" si="5"/>
        <v>Please enter numeric value only.</v>
      </c>
      <c r="M16" s="146" t="str">
        <f t="shared" si="5"/>
        <v>Please enter numeric value only.</v>
      </c>
      <c r="N16" s="146" t="str">
        <f t="shared" si="5"/>
        <v>Please enter numeric value only.</v>
      </c>
      <c r="O16" s="146" t="str">
        <f t="shared" si="5"/>
        <v>Please enter numeric value only.</v>
      </c>
      <c r="P16" s="146"/>
      <c r="Q16" s="146"/>
      <c r="R16" s="146" t="str">
        <f t="shared" ref="R16:X16" si="6">MsgNum</f>
        <v>Please enter numeric value only.</v>
      </c>
      <c r="S16" s="183" t="str">
        <f t="shared" si="6"/>
        <v>Please enter numeric value only.</v>
      </c>
      <c r="T16" s="183" t="str">
        <f t="shared" si="6"/>
        <v>Please enter numeric value only.</v>
      </c>
      <c r="U16" s="183" t="str">
        <f t="shared" si="6"/>
        <v>Please enter numeric value only.</v>
      </c>
      <c r="V16" s="183" t="str">
        <f t="shared" si="6"/>
        <v>Please enter numeric value only.</v>
      </c>
      <c r="W16" s="183" t="str">
        <f t="shared" si="6"/>
        <v>Please enter numeric value only.</v>
      </c>
      <c r="X16" s="183" t="str">
        <f t="shared" si="6"/>
        <v>Please enter numeric value only.</v>
      </c>
      <c r="Y16" s="183" t="str">
        <f>MsgNum</f>
        <v>Please enter numeric value only.</v>
      </c>
      <c r="Z16" s="146"/>
      <c r="AA16" s="146"/>
      <c r="AB16" s="146"/>
      <c r="AC16" s="146"/>
      <c r="AD16" s="159"/>
    </row>
    <row r="17" spans="1:30" ht="60" x14ac:dyDescent="0.25">
      <c r="A17" s="145" t="s">
        <v>474</v>
      </c>
      <c r="B17" s="146"/>
      <c r="C17" s="183"/>
      <c r="D17" s="183"/>
      <c r="E17" s="146"/>
      <c r="F17" s="183"/>
      <c r="G17" s="146"/>
      <c r="H17" s="146"/>
      <c r="I17" s="146"/>
      <c r="J17" s="146"/>
      <c r="K17" s="146"/>
      <c r="L17" s="146"/>
      <c r="M17" s="146"/>
      <c r="N17" s="146"/>
      <c r="O17" s="146"/>
      <c r="P17" s="146"/>
      <c r="Q17" s="146"/>
      <c r="R17" s="146"/>
      <c r="S17" s="183"/>
      <c r="T17" s="183"/>
      <c r="U17" s="185" t="s">
        <v>613</v>
      </c>
      <c r="V17" s="185" t="s">
        <v>614</v>
      </c>
      <c r="W17" s="185" t="s">
        <v>615</v>
      </c>
      <c r="X17" s="183"/>
      <c r="Y17" s="183"/>
      <c r="Z17" s="146"/>
      <c r="AA17" s="146"/>
      <c r="AB17" s="146"/>
      <c r="AC17" s="146"/>
      <c r="AD17" s="159"/>
    </row>
    <row r="18" spans="1:30" ht="60" x14ac:dyDescent="0.25">
      <c r="A18" s="147" t="s">
        <v>473</v>
      </c>
      <c r="B18" s="162"/>
      <c r="C18" s="184"/>
      <c r="D18" s="184"/>
      <c r="E18" s="162"/>
      <c r="F18" s="184"/>
      <c r="G18" s="162"/>
      <c r="H18" s="162"/>
      <c r="I18" s="162"/>
      <c r="J18" s="162"/>
      <c r="K18" s="162"/>
      <c r="L18" s="162"/>
      <c r="M18" s="162"/>
      <c r="N18" s="162"/>
      <c r="O18" s="162"/>
      <c r="P18" s="162"/>
      <c r="Q18" s="162"/>
      <c r="R18" s="162"/>
      <c r="S18" s="184"/>
      <c r="T18" s="184"/>
      <c r="U18" s="186" t="s">
        <v>616</v>
      </c>
      <c r="V18" s="186" t="s">
        <v>617</v>
      </c>
      <c r="W18" s="186" t="s">
        <v>618</v>
      </c>
      <c r="X18" s="184"/>
      <c r="Y18" s="184"/>
      <c r="Z18" s="162"/>
      <c r="AA18" s="162"/>
      <c r="AB18" s="162"/>
      <c r="AC18" s="162"/>
      <c r="AD18" s="160"/>
    </row>
    <row r="20" spans="1:30" x14ac:dyDescent="0.25">
      <c r="A20" s="179" t="s">
        <v>619</v>
      </c>
      <c r="B20" s="180" t="s">
        <v>407</v>
      </c>
      <c r="C20" s="180" t="s">
        <v>620</v>
      </c>
      <c r="D20" s="180" t="s">
        <v>621</v>
      </c>
      <c r="E20" s="180" t="s">
        <v>397</v>
      </c>
      <c r="F20" s="180" t="s">
        <v>622</v>
      </c>
      <c r="G20" s="180" t="s">
        <v>623</v>
      </c>
      <c r="H20" s="180" t="s">
        <v>624</v>
      </c>
      <c r="I20" s="180" t="s">
        <v>625</v>
      </c>
      <c r="J20" s="180" t="s">
        <v>626</v>
      </c>
      <c r="K20" s="180" t="s">
        <v>627</v>
      </c>
      <c r="L20" s="161"/>
      <c r="M20" s="161"/>
      <c r="N20" s="161"/>
      <c r="O20" s="161"/>
      <c r="P20" s="161"/>
      <c r="Q20" s="161"/>
      <c r="R20" s="161"/>
      <c r="S20" s="161"/>
      <c r="T20" s="161"/>
      <c r="U20" s="161"/>
      <c r="V20" s="161"/>
      <c r="W20" s="161"/>
      <c r="X20" s="161"/>
      <c r="Y20" s="161"/>
      <c r="Z20" s="161"/>
      <c r="AA20" s="161"/>
      <c r="AB20" s="161"/>
      <c r="AC20" s="161"/>
      <c r="AD20" s="158" t="s">
        <v>628</v>
      </c>
    </row>
    <row r="21" spans="1:30" x14ac:dyDescent="0.25">
      <c r="A21" s="145" t="s">
        <v>471</v>
      </c>
      <c r="B21" s="146" t="s">
        <v>273</v>
      </c>
      <c r="C21" s="146" t="s">
        <v>273</v>
      </c>
      <c r="D21" s="146" t="s">
        <v>273</v>
      </c>
      <c r="E21" s="146" t="s">
        <v>273</v>
      </c>
      <c r="F21" s="146" t="s">
        <v>273</v>
      </c>
      <c r="G21" s="146" t="s">
        <v>273</v>
      </c>
      <c r="H21" s="146" t="s">
        <v>273</v>
      </c>
      <c r="I21" s="146" t="s">
        <v>273</v>
      </c>
      <c r="J21" s="146" t="s">
        <v>273</v>
      </c>
      <c r="K21" s="146" t="s">
        <v>335</v>
      </c>
      <c r="L21" s="146"/>
      <c r="M21" s="146"/>
      <c r="N21" s="146"/>
      <c r="O21" s="146"/>
      <c r="P21" s="146"/>
      <c r="Q21" s="146"/>
      <c r="R21" s="146"/>
      <c r="S21" s="146"/>
      <c r="T21" s="146"/>
      <c r="U21" s="146"/>
      <c r="V21" s="146"/>
      <c r="W21" s="146"/>
      <c r="X21" s="146"/>
      <c r="Y21" s="146"/>
      <c r="Z21" s="146"/>
      <c r="AA21" s="146"/>
      <c r="AB21" s="146"/>
      <c r="AC21" s="146"/>
      <c r="AD21" s="159"/>
    </row>
    <row r="22" spans="1:30" x14ac:dyDescent="0.25">
      <c r="A22" s="145" t="s">
        <v>470</v>
      </c>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59"/>
    </row>
    <row r="23" spans="1:30" x14ac:dyDescent="0.25">
      <c r="A23" s="145" t="s">
        <v>472</v>
      </c>
      <c r="B23" s="146" t="s">
        <v>629</v>
      </c>
      <c r="C23" s="146" t="s">
        <v>630</v>
      </c>
      <c r="D23" s="146" t="s">
        <v>631</v>
      </c>
      <c r="E23" s="146" t="s">
        <v>632</v>
      </c>
      <c r="F23" s="146" t="s">
        <v>633</v>
      </c>
      <c r="G23" s="146" t="s">
        <v>634</v>
      </c>
      <c r="H23" s="146" t="s">
        <v>635</v>
      </c>
      <c r="I23" s="146" t="s">
        <v>636</v>
      </c>
      <c r="J23" s="146" t="s">
        <v>637</v>
      </c>
      <c r="K23" s="146" t="s">
        <v>638</v>
      </c>
      <c r="L23" s="146"/>
      <c r="M23" s="146"/>
      <c r="N23" s="146"/>
      <c r="O23" s="146"/>
      <c r="P23" s="146"/>
      <c r="Q23" s="146"/>
      <c r="R23" s="146"/>
      <c r="S23" s="146"/>
      <c r="T23" s="146"/>
      <c r="U23" s="146"/>
      <c r="V23" s="146"/>
      <c r="W23" s="146"/>
      <c r="X23" s="146"/>
      <c r="Y23" s="146"/>
      <c r="Z23" s="146"/>
      <c r="AA23" s="146"/>
      <c r="AB23" s="146"/>
      <c r="AC23" s="146"/>
      <c r="AD23" s="159"/>
    </row>
    <row r="24" spans="1:30" x14ac:dyDescent="0.25">
      <c r="A24" s="145" t="s">
        <v>473</v>
      </c>
      <c r="B24" s="146" t="str">
        <f t="shared" ref="B24:K24" si="7">CONCATENATE(B20,MsgMandat)</f>
        <v>PIN of Employee is Mandatory field.</v>
      </c>
      <c r="C24" s="146" t="str">
        <f t="shared" si="7"/>
        <v>Reference to Section is Mandatory field.</v>
      </c>
      <c r="D24" s="146" t="str">
        <f t="shared" si="7"/>
        <v>Car Registration Number is Mandatory field.</v>
      </c>
      <c r="E24" s="146" t="str">
        <f t="shared" si="7"/>
        <v>Make is Mandatory field.</v>
      </c>
      <c r="F24" s="146" t="str">
        <f t="shared" si="7"/>
        <v>Body Type is Mandatory field.</v>
      </c>
      <c r="G24" s="146" t="str">
        <f t="shared" si="7"/>
        <v>CC Rating is Mandatory field.</v>
      </c>
      <c r="H24" s="146" t="str">
        <f t="shared" si="7"/>
        <v>Type of Car Cost is Mandatory field.</v>
      </c>
      <c r="I24" s="146" t="str">
        <f t="shared" si="7"/>
        <v>Cost of Hiring / Leasing is Mandatory field.</v>
      </c>
      <c r="J24" s="146" t="str">
        <f t="shared" si="7"/>
        <v>Cost of Owned Car is Mandatory field.</v>
      </c>
      <c r="K24" s="146" t="str">
        <f t="shared" si="7"/>
        <v>Value of Car Benefit is Mandatory field.</v>
      </c>
      <c r="L24" s="146"/>
      <c r="M24" s="146"/>
      <c r="N24" s="146"/>
      <c r="O24" s="146"/>
      <c r="P24" s="146"/>
      <c r="Q24" s="146"/>
      <c r="R24" s="146"/>
      <c r="S24" s="146"/>
      <c r="T24" s="146"/>
      <c r="U24" s="146"/>
      <c r="V24" s="146"/>
      <c r="W24" s="146"/>
      <c r="X24" s="146"/>
      <c r="Y24" s="146"/>
      <c r="Z24" s="146"/>
      <c r="AA24" s="146"/>
      <c r="AB24" s="146"/>
      <c r="AC24" s="146"/>
      <c r="AD24" s="159"/>
    </row>
    <row r="25" spans="1:30" x14ac:dyDescent="0.25">
      <c r="A25" s="145" t="s">
        <v>474</v>
      </c>
      <c r="B25" s="146" t="s">
        <v>639</v>
      </c>
      <c r="C25" s="146"/>
      <c r="D25" s="146" t="s">
        <v>640</v>
      </c>
      <c r="E25" s="146" t="s">
        <v>641</v>
      </c>
      <c r="F25" s="146"/>
      <c r="G25" s="146" t="s">
        <v>642</v>
      </c>
      <c r="H25" s="146"/>
      <c r="I25" s="146" t="s">
        <v>643</v>
      </c>
      <c r="J25" s="146" t="s">
        <v>644</v>
      </c>
      <c r="K25" s="146" t="s">
        <v>645</v>
      </c>
      <c r="L25" s="146"/>
      <c r="M25" s="146"/>
      <c r="N25" s="146"/>
      <c r="O25" s="146"/>
      <c r="P25" s="146"/>
      <c r="Q25" s="146"/>
      <c r="R25" s="146"/>
      <c r="S25" s="146"/>
      <c r="T25" s="146"/>
      <c r="U25" s="146"/>
      <c r="V25" s="146"/>
      <c r="W25" s="146"/>
      <c r="X25" s="146"/>
      <c r="Y25" s="146"/>
      <c r="Z25" s="146"/>
      <c r="AA25" s="146"/>
      <c r="AB25" s="146"/>
      <c r="AC25" s="146"/>
      <c r="AD25" s="159"/>
    </row>
    <row r="26" spans="1:30" x14ac:dyDescent="0.25">
      <c r="A26" s="147" t="s">
        <v>473</v>
      </c>
      <c r="B26" s="162" t="str">
        <f>CONCATENATE(B20,MsgPINDup)</f>
        <v>PIN of Employee can not be same as  Taxpayer's PIN.</v>
      </c>
      <c r="C26" s="162"/>
      <c r="D26" s="162" t="str">
        <f>MsgAlpNumSpl</f>
        <v>Please enter alphanumeric value. Only Special characters like (space , . / - :) are allowed.</v>
      </c>
      <c r="E26" s="162" t="str">
        <f>MsgAlpNumSpl</f>
        <v>Please enter alphanumeric value. Only Special characters like (space , . / - :) are allowed.</v>
      </c>
      <c r="F26" s="162"/>
      <c r="G26" s="162" t="str">
        <f>MsgNum</f>
        <v>Please enter numeric value only.</v>
      </c>
      <c r="H26" s="162"/>
      <c r="I26" s="162" t="str">
        <f>MsgNum</f>
        <v>Please enter numeric value only.</v>
      </c>
      <c r="J26" s="162" t="str">
        <f>MsgNum</f>
        <v>Please enter numeric value only.</v>
      </c>
      <c r="K26" s="162" t="str">
        <f>MsgNum</f>
        <v>Please enter numeric value only.</v>
      </c>
      <c r="L26" s="162"/>
      <c r="M26" s="162"/>
      <c r="N26" s="162"/>
      <c r="O26" s="162"/>
      <c r="P26" s="162"/>
      <c r="Q26" s="162"/>
      <c r="R26" s="162"/>
      <c r="S26" s="162"/>
      <c r="T26" s="162"/>
      <c r="U26" s="162"/>
      <c r="V26" s="162"/>
      <c r="W26" s="162"/>
      <c r="X26" s="162"/>
      <c r="Y26" s="162"/>
      <c r="Z26" s="162"/>
      <c r="AA26" s="162"/>
      <c r="AB26" s="162"/>
      <c r="AC26" s="162"/>
      <c r="AD26" s="160"/>
    </row>
    <row r="28" spans="1:30" x14ac:dyDescent="0.25">
      <c r="A28" s="179" t="s">
        <v>646</v>
      </c>
      <c r="B28" s="180" t="s">
        <v>407</v>
      </c>
      <c r="C28" s="180" t="s">
        <v>620</v>
      </c>
      <c r="D28" s="180" t="s">
        <v>647</v>
      </c>
      <c r="E28" s="180" t="s">
        <v>648</v>
      </c>
      <c r="F28" s="180" t="s">
        <v>649</v>
      </c>
      <c r="G28" s="180" t="s">
        <v>650</v>
      </c>
      <c r="H28" s="180" t="s">
        <v>651</v>
      </c>
      <c r="I28" s="180" t="s">
        <v>652</v>
      </c>
      <c r="J28" s="180" t="s">
        <v>653</v>
      </c>
      <c r="K28" s="180" t="s">
        <v>654</v>
      </c>
      <c r="L28" s="180" t="s">
        <v>655</v>
      </c>
      <c r="M28" s="180" t="s">
        <v>656</v>
      </c>
      <c r="N28" s="180" t="s">
        <v>657</v>
      </c>
      <c r="O28" s="161"/>
      <c r="P28" s="161"/>
      <c r="Q28" s="161"/>
      <c r="R28" s="161"/>
      <c r="S28" s="161"/>
      <c r="T28" s="161"/>
      <c r="U28" s="161"/>
      <c r="V28" s="161"/>
      <c r="W28" s="161"/>
      <c r="X28" s="161"/>
      <c r="Y28" s="161"/>
      <c r="Z28" s="161"/>
      <c r="AA28" s="161"/>
      <c r="AB28" s="161"/>
      <c r="AC28" s="161"/>
      <c r="AD28" s="158" t="s">
        <v>658</v>
      </c>
    </row>
    <row r="29" spans="1:30" x14ac:dyDescent="0.25">
      <c r="A29" s="145" t="s">
        <v>471</v>
      </c>
      <c r="B29" s="146" t="s">
        <v>273</v>
      </c>
      <c r="C29" s="146" t="s">
        <v>273</v>
      </c>
      <c r="D29" s="146" t="s">
        <v>273</v>
      </c>
      <c r="E29" s="146" t="s">
        <v>273</v>
      </c>
      <c r="F29" s="146" t="s">
        <v>273</v>
      </c>
      <c r="G29" s="146" t="s">
        <v>273</v>
      </c>
      <c r="H29" s="146" t="s">
        <v>273</v>
      </c>
      <c r="I29" s="146" t="s">
        <v>335</v>
      </c>
      <c r="J29" s="146" t="s">
        <v>273</v>
      </c>
      <c r="K29" s="146" t="s">
        <v>273</v>
      </c>
      <c r="L29" s="146" t="s">
        <v>273</v>
      </c>
      <c r="M29" s="146" t="s">
        <v>273</v>
      </c>
      <c r="N29" s="146" t="s">
        <v>273</v>
      </c>
      <c r="O29" s="146"/>
      <c r="P29" s="146"/>
      <c r="Q29" s="146"/>
      <c r="R29" s="146"/>
      <c r="S29" s="146"/>
      <c r="T29" s="146"/>
      <c r="U29" s="146"/>
      <c r="V29" s="146"/>
      <c r="W29" s="146"/>
      <c r="X29" s="146"/>
      <c r="Y29" s="146"/>
      <c r="Z29" s="146"/>
      <c r="AA29" s="146"/>
      <c r="AB29" s="146"/>
      <c r="AC29" s="146"/>
      <c r="AD29" s="159"/>
    </row>
    <row r="30" spans="1:30" x14ac:dyDescent="0.25">
      <c r="A30" s="145" t="s">
        <v>470</v>
      </c>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59"/>
    </row>
    <row r="31" spans="1:30" x14ac:dyDescent="0.25">
      <c r="A31" s="145" t="s">
        <v>472</v>
      </c>
      <c r="B31" s="146" t="s">
        <v>659</v>
      </c>
      <c r="C31" s="146" t="s">
        <v>660</v>
      </c>
      <c r="D31" s="146" t="s">
        <v>661</v>
      </c>
      <c r="E31" s="146" t="s">
        <v>662</v>
      </c>
      <c r="F31" s="146" t="s">
        <v>663</v>
      </c>
      <c r="G31" s="146" t="s">
        <v>664</v>
      </c>
      <c r="H31" s="146" t="s">
        <v>665</v>
      </c>
      <c r="I31" s="146" t="s">
        <v>666</v>
      </c>
      <c r="J31" s="146" t="s">
        <v>667</v>
      </c>
      <c r="K31" s="146" t="s">
        <v>668</v>
      </c>
      <c r="L31" s="146" t="s">
        <v>669</v>
      </c>
      <c r="M31" s="146" t="s">
        <v>670</v>
      </c>
      <c r="N31" s="146" t="s">
        <v>671</v>
      </c>
      <c r="O31" s="146"/>
      <c r="P31" s="146"/>
      <c r="Q31" s="146"/>
      <c r="R31" s="146"/>
      <c r="S31" s="146"/>
      <c r="T31" s="146"/>
      <c r="U31" s="146"/>
      <c r="V31" s="146"/>
      <c r="W31" s="146"/>
      <c r="X31" s="146"/>
      <c r="Y31" s="146"/>
      <c r="Z31" s="146"/>
      <c r="AA31" s="146"/>
      <c r="AB31" s="146"/>
      <c r="AC31" s="146"/>
      <c r="AD31" s="159"/>
    </row>
    <row r="32" spans="1:30" x14ac:dyDescent="0.25">
      <c r="A32" s="145" t="s">
        <v>473</v>
      </c>
      <c r="B32" s="146" t="str">
        <f t="shared" ref="B32:M32" si="8">CONCATENATE(B28,MsgMandat)</f>
        <v>PIN of Employee is Mandatory field.</v>
      </c>
      <c r="C32" s="146" t="str">
        <f t="shared" si="8"/>
        <v>Reference to Section is Mandatory field.</v>
      </c>
      <c r="D32" s="146" t="str">
        <f t="shared" si="8"/>
        <v>PIN of Insurance Company is Mandatory field.</v>
      </c>
      <c r="E32" s="146" t="str">
        <f t="shared" si="8"/>
        <v>Name of Insurance Company is Mandatory field.</v>
      </c>
      <c r="F32" s="146" t="str">
        <f t="shared" si="8"/>
        <v>Purpose of Policy is Mandatory field.</v>
      </c>
      <c r="G32" s="146" t="str">
        <f t="shared" si="8"/>
        <v>Insurance Policy Number is Mandatory field.</v>
      </c>
      <c r="H32" s="146" t="str">
        <f t="shared" si="8"/>
        <v>Policy Holder is Mandatory field.</v>
      </c>
      <c r="I32" s="146" t="str">
        <f t="shared" si="8"/>
        <v>Age of Child is Mandatory field.</v>
      </c>
      <c r="J32" s="146" t="str">
        <f t="shared" si="8"/>
        <v>Commencement Date is Mandatory field.</v>
      </c>
      <c r="K32" s="146" t="str">
        <f t="shared" si="8"/>
        <v>Maturity Date is Mandatory field.</v>
      </c>
      <c r="L32" s="146" t="str">
        <f t="shared" si="8"/>
        <v>Sum Assured is Mandatory field.</v>
      </c>
      <c r="M32" s="146" t="str">
        <f t="shared" si="8"/>
        <v>Premium paid till month (Ksh) (A) is Mandatory field.</v>
      </c>
      <c r="N32" s="146" t="str">
        <f>CONCATENATE(N28,MsgMandat)</f>
        <v>Date of payment of premium is Mandatory field.</v>
      </c>
      <c r="O32" s="146"/>
      <c r="P32" s="146"/>
      <c r="Q32" s="146"/>
      <c r="R32" s="146"/>
      <c r="S32" s="146"/>
      <c r="T32" s="146"/>
      <c r="U32" s="146"/>
      <c r="V32" s="146"/>
      <c r="W32" s="146"/>
      <c r="X32" s="146"/>
      <c r="Y32" s="146"/>
      <c r="Z32" s="146"/>
      <c r="AA32" s="146"/>
      <c r="AB32" s="146"/>
      <c r="AC32" s="146"/>
      <c r="AD32" s="159"/>
    </row>
    <row r="33" spans="1:30" x14ac:dyDescent="0.25">
      <c r="A33" s="145" t="s">
        <v>474</v>
      </c>
      <c r="B33" s="146" t="s">
        <v>672</v>
      </c>
      <c r="C33" s="146"/>
      <c r="D33" s="146" t="s">
        <v>673</v>
      </c>
      <c r="E33" s="146" t="s">
        <v>674</v>
      </c>
      <c r="F33" s="146"/>
      <c r="G33" s="146" t="s">
        <v>675</v>
      </c>
      <c r="H33" s="146"/>
      <c r="I33" s="146" t="s">
        <v>676</v>
      </c>
      <c r="J33" s="146"/>
      <c r="K33" s="146"/>
      <c r="L33" s="146" t="s">
        <v>677</v>
      </c>
      <c r="M33" s="146" t="s">
        <v>678</v>
      </c>
      <c r="N33" s="146"/>
      <c r="O33" s="146"/>
      <c r="P33" s="146"/>
      <c r="Q33" s="146"/>
      <c r="R33" s="146"/>
      <c r="S33" s="146"/>
      <c r="T33" s="146"/>
      <c r="U33" s="146"/>
      <c r="V33" s="146"/>
      <c r="W33" s="146"/>
      <c r="X33" s="146"/>
      <c r="Y33" s="146"/>
      <c r="Z33" s="146"/>
      <c r="AA33" s="146"/>
      <c r="AB33" s="146"/>
      <c r="AC33" s="146"/>
      <c r="AD33" s="159"/>
    </row>
    <row r="34" spans="1:30" x14ac:dyDescent="0.25">
      <c r="A34" s="147" t="s">
        <v>473</v>
      </c>
      <c r="B34" s="162" t="s">
        <v>1097</v>
      </c>
      <c r="C34" s="162"/>
      <c r="D34" s="162" t="str">
        <f>CONCATENATE(D28,MsgPINDup)</f>
        <v>PIN of Insurance Company can not be same as  Taxpayer's PIN.</v>
      </c>
      <c r="E34" s="162" t="str">
        <f>MsgAlpNumSpl</f>
        <v>Please enter alphanumeric value. Only Special characters like (space , . / - :) are allowed.</v>
      </c>
      <c r="F34" s="162"/>
      <c r="G34" s="162" t="str">
        <f>MsgAlpNumSpl</f>
        <v>Please enter alphanumeric value. Only Special characters like (space , . / - :) are allowed.</v>
      </c>
      <c r="H34" s="162"/>
      <c r="I34" s="162" t="str">
        <f>MsgNum</f>
        <v>Please enter numeric value only.</v>
      </c>
      <c r="J34" s="162" t="str">
        <f>CONCATENATE(J28,MsgDateFrmt)</f>
        <v>Commencement Date in proper format(dd/mm/yyyy).</v>
      </c>
      <c r="K34" s="162" t="str">
        <f>CONCATENATE(K28,MsgDateFrmt)</f>
        <v>Maturity Date in proper format(dd/mm/yyyy).</v>
      </c>
      <c r="L34" s="162" t="str">
        <f>MsgNum</f>
        <v>Please enter numeric value only.</v>
      </c>
      <c r="M34" s="162" t="str">
        <f>MsgNum</f>
        <v>Please enter numeric value only.</v>
      </c>
      <c r="N34" s="162" t="str">
        <f>CONCATENATE(N28,MsgDateFrmt)</f>
        <v>Date of payment of premium in proper format(dd/mm/yyyy).</v>
      </c>
      <c r="O34" s="162"/>
      <c r="P34" s="162"/>
      <c r="Q34" s="162"/>
      <c r="R34" s="162"/>
      <c r="S34" s="162"/>
      <c r="T34" s="162"/>
      <c r="U34" s="162"/>
      <c r="V34" s="162"/>
      <c r="W34" s="162"/>
      <c r="X34" s="162"/>
      <c r="Y34" s="162"/>
      <c r="Z34" s="162"/>
      <c r="AA34" s="162"/>
      <c r="AB34" s="162"/>
      <c r="AC34" s="162"/>
      <c r="AD34" s="160"/>
    </row>
    <row r="36" spans="1:30" s="27" customFormat="1" ht="39.75" customHeight="1" x14ac:dyDescent="0.25">
      <c r="A36" s="187" t="s">
        <v>679</v>
      </c>
      <c r="B36" s="181" t="s">
        <v>407</v>
      </c>
      <c r="C36" s="181" t="s">
        <v>408</v>
      </c>
      <c r="D36" s="181" t="s">
        <v>409</v>
      </c>
      <c r="E36" s="181" t="s">
        <v>410</v>
      </c>
      <c r="F36" s="181" t="s">
        <v>44</v>
      </c>
      <c r="G36" s="181" t="s">
        <v>680</v>
      </c>
      <c r="H36" s="181" t="s">
        <v>681</v>
      </c>
      <c r="I36" s="181" t="s">
        <v>682</v>
      </c>
      <c r="J36" s="181" t="s">
        <v>683</v>
      </c>
      <c r="K36" s="188"/>
      <c r="L36" s="188"/>
      <c r="M36" s="188"/>
      <c r="N36" s="188"/>
      <c r="O36" s="188"/>
      <c r="P36" s="188"/>
      <c r="Q36" s="188"/>
      <c r="R36" s="188"/>
      <c r="S36" s="188"/>
      <c r="T36" s="188"/>
      <c r="U36" s="188"/>
      <c r="V36" s="188"/>
      <c r="W36" s="188"/>
      <c r="X36" s="188"/>
      <c r="Y36" s="188"/>
      <c r="Z36" s="188"/>
      <c r="AA36" s="188"/>
      <c r="AB36" s="188"/>
      <c r="AC36" s="188"/>
      <c r="AD36" s="182" t="s">
        <v>684</v>
      </c>
    </row>
    <row r="37" spans="1:30" x14ac:dyDescent="0.25">
      <c r="A37" s="145" t="s">
        <v>471</v>
      </c>
      <c r="B37" s="146" t="s">
        <v>273</v>
      </c>
      <c r="C37" s="146" t="s">
        <v>273</v>
      </c>
      <c r="D37" s="146" t="s">
        <v>273</v>
      </c>
      <c r="E37" s="146" t="s">
        <v>273</v>
      </c>
      <c r="F37" s="146" t="s">
        <v>273</v>
      </c>
      <c r="G37" s="146" t="s">
        <v>273</v>
      </c>
      <c r="H37" s="146" t="s">
        <v>273</v>
      </c>
      <c r="I37" s="146" t="s">
        <v>273</v>
      </c>
      <c r="J37" s="146" t="s">
        <v>273</v>
      </c>
      <c r="K37" s="146"/>
      <c r="L37" s="146"/>
      <c r="M37" s="146"/>
      <c r="N37" s="146"/>
      <c r="O37" s="146"/>
      <c r="P37" s="146"/>
      <c r="Q37" s="146"/>
      <c r="R37" s="146"/>
      <c r="S37" s="146"/>
      <c r="T37" s="146"/>
      <c r="U37" s="146"/>
      <c r="V37" s="146"/>
      <c r="W37" s="146"/>
      <c r="X37" s="146"/>
      <c r="Y37" s="146"/>
      <c r="Z37" s="146"/>
      <c r="AA37" s="146"/>
      <c r="AB37" s="146"/>
      <c r="AC37" s="146"/>
      <c r="AD37" s="159"/>
    </row>
    <row r="38" spans="1:30" x14ac:dyDescent="0.25">
      <c r="A38" s="145" t="s">
        <v>470</v>
      </c>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59"/>
    </row>
    <row r="39" spans="1:30" x14ac:dyDescent="0.25">
      <c r="A39" s="145" t="s">
        <v>472</v>
      </c>
      <c r="B39" s="146" t="s">
        <v>685</v>
      </c>
      <c r="C39" s="146" t="s">
        <v>686</v>
      </c>
      <c r="D39" s="146" t="s">
        <v>687</v>
      </c>
      <c r="E39" s="146" t="s">
        <v>688</v>
      </c>
      <c r="F39" s="146" t="s">
        <v>689</v>
      </c>
      <c r="G39" s="146" t="s">
        <v>690</v>
      </c>
      <c r="H39" s="146" t="s">
        <v>691</v>
      </c>
      <c r="I39" s="146" t="s">
        <v>692</v>
      </c>
      <c r="J39" s="146" t="s">
        <v>693</v>
      </c>
      <c r="K39" s="146"/>
      <c r="L39" s="146"/>
      <c r="M39" s="146"/>
      <c r="N39" s="146"/>
      <c r="O39" s="146"/>
      <c r="P39" s="146"/>
      <c r="Q39" s="146"/>
      <c r="R39" s="146"/>
      <c r="S39" s="146"/>
      <c r="T39" s="146"/>
      <c r="U39" s="146"/>
      <c r="V39" s="146"/>
      <c r="W39" s="146"/>
      <c r="X39" s="146"/>
      <c r="Y39" s="146"/>
      <c r="Z39" s="146"/>
      <c r="AA39" s="146"/>
      <c r="AB39" s="146"/>
      <c r="AC39" s="146"/>
      <c r="AD39" s="159"/>
    </row>
    <row r="40" spans="1:30" x14ac:dyDescent="0.25">
      <c r="A40" s="145" t="s">
        <v>473</v>
      </c>
      <c r="B40" s="146" t="str">
        <f t="shared" ref="B40:J40" si="9">CONCATENATE(B36,MsgMandat)</f>
        <v>PIN of Employee is Mandatory field.</v>
      </c>
      <c r="C40" s="146" t="str">
        <f t="shared" si="9"/>
        <v>Name of Employee is Mandatory field.</v>
      </c>
      <c r="D40" s="146" t="str">
        <f t="shared" si="9"/>
        <v>Employment Start Date is Mandatory field.</v>
      </c>
      <c r="E40" s="146" t="str">
        <f t="shared" si="9"/>
        <v>Employment End Date is Mandatory field.</v>
      </c>
      <c r="F40" s="146" t="str">
        <f t="shared" si="9"/>
        <v>Lump Sum Payment Due Year is Mandatory field.</v>
      </c>
      <c r="G40" s="146" t="str">
        <f t="shared" si="9"/>
        <v>Lump Sum Payment Paid Year is Mandatory field.</v>
      </c>
      <c r="H40" s="146" t="str">
        <f t="shared" si="9"/>
        <v>Amount of Gross Lump Sum Payment is Mandatory field.</v>
      </c>
      <c r="I40" s="146" t="str">
        <f t="shared" si="9"/>
        <v>Emoluments of Lump Sum Payment Due Year/ Emoluments of Lump Sum Payment Due Month is Mandatory field.</v>
      </c>
      <c r="J40" s="146" t="str">
        <f t="shared" si="9"/>
        <v>PAYE Paid in Lump Sum Payment Due Year/ Lump Sum Payment Due Month is Mandatory field.</v>
      </c>
      <c r="K40" s="146"/>
      <c r="L40" s="146"/>
      <c r="M40" s="146"/>
      <c r="N40" s="146"/>
      <c r="O40" s="146"/>
      <c r="P40" s="146"/>
      <c r="Q40" s="146"/>
      <c r="R40" s="146"/>
      <c r="S40" s="146"/>
      <c r="T40" s="146"/>
      <c r="U40" s="146"/>
      <c r="V40" s="146"/>
      <c r="W40" s="146"/>
      <c r="X40" s="146"/>
      <c r="Y40" s="146"/>
      <c r="Z40" s="146"/>
      <c r="AA40" s="146"/>
      <c r="AB40" s="146"/>
      <c r="AC40" s="146"/>
      <c r="AD40" s="159"/>
    </row>
    <row r="41" spans="1:30" x14ac:dyDescent="0.25">
      <c r="A41" s="145" t="s">
        <v>474</v>
      </c>
      <c r="B41" s="146" t="s">
        <v>694</v>
      </c>
      <c r="C41" s="146" t="s">
        <v>695</v>
      </c>
      <c r="D41" s="146"/>
      <c r="E41" s="146"/>
      <c r="F41" s="146" t="s">
        <v>696</v>
      </c>
      <c r="G41" s="146" t="s">
        <v>697</v>
      </c>
      <c r="H41" s="146" t="s">
        <v>698</v>
      </c>
      <c r="I41" s="146" t="s">
        <v>699</v>
      </c>
      <c r="J41" s="146" t="s">
        <v>700</v>
      </c>
      <c r="K41" s="146"/>
      <c r="L41" s="146"/>
      <c r="M41" s="146"/>
      <c r="N41" s="146"/>
      <c r="O41" s="146"/>
      <c r="P41" s="146"/>
      <c r="Q41" s="146"/>
      <c r="R41" s="146"/>
      <c r="S41" s="146"/>
      <c r="T41" s="146"/>
      <c r="U41" s="146"/>
      <c r="V41" s="146"/>
      <c r="W41" s="146"/>
      <c r="X41" s="146"/>
      <c r="Y41" s="146"/>
      <c r="Z41" s="146"/>
      <c r="AA41" s="146"/>
      <c r="AB41" s="146"/>
      <c r="AC41" s="146"/>
      <c r="AD41" s="159"/>
    </row>
    <row r="42" spans="1:30" x14ac:dyDescent="0.25">
      <c r="A42" s="147" t="s">
        <v>473</v>
      </c>
      <c r="B42" s="162" t="s">
        <v>1097</v>
      </c>
      <c r="C42" s="162" t="str">
        <f>MsgAlpNumSpl</f>
        <v>Please enter alphanumeric value. Only Special characters like (space , . / - :) are allowed.</v>
      </c>
      <c r="D42" s="162" t="str">
        <f>CONCATENATE(D36,MsgDateFrmt)</f>
        <v>Employment Start Date in proper format(dd/mm/yyyy).</v>
      </c>
      <c r="E42" s="162" t="str">
        <f>CONCATENATE(E36,MsgDateFrmt)</f>
        <v>Employment End Date in proper format(dd/mm/yyyy).</v>
      </c>
      <c r="F42" s="162" t="str">
        <f>MsgNum</f>
        <v>Please enter numeric value only.</v>
      </c>
      <c r="G42" s="162" t="str">
        <f>MsgNum</f>
        <v>Please enter numeric value only.</v>
      </c>
      <c r="H42" s="162" t="str">
        <f>MsgNum</f>
        <v>Please enter numeric value only.</v>
      </c>
      <c r="I42" s="162" t="str">
        <f>MsgNum</f>
        <v>Please enter numeric value only.</v>
      </c>
      <c r="J42" s="162" t="str">
        <f>MsgNum</f>
        <v>Please enter numeric value only.</v>
      </c>
      <c r="K42" s="162"/>
      <c r="L42" s="162"/>
      <c r="M42" s="162"/>
      <c r="N42" s="162"/>
      <c r="O42" s="162"/>
      <c r="P42" s="162"/>
      <c r="Q42" s="162"/>
      <c r="R42" s="162"/>
      <c r="S42" s="162"/>
      <c r="T42" s="162"/>
      <c r="U42" s="162"/>
      <c r="V42" s="162"/>
      <c r="W42" s="162"/>
      <c r="X42" s="162"/>
      <c r="Y42" s="162"/>
      <c r="Z42" s="162"/>
      <c r="AA42" s="162"/>
      <c r="AB42" s="162"/>
      <c r="AC42" s="162"/>
      <c r="AD42" s="160"/>
    </row>
    <row r="44" spans="1:30" ht="30" x14ac:dyDescent="0.25">
      <c r="A44" s="179" t="s">
        <v>88</v>
      </c>
      <c r="B44" s="180" t="s">
        <v>407</v>
      </c>
      <c r="C44" s="180" t="s">
        <v>408</v>
      </c>
      <c r="D44" s="180" t="s">
        <v>701</v>
      </c>
      <c r="E44" s="180" t="s">
        <v>702</v>
      </c>
      <c r="F44" s="181" t="s">
        <v>510</v>
      </c>
      <c r="G44" s="180" t="s">
        <v>511</v>
      </c>
      <c r="H44" s="180" t="s">
        <v>445</v>
      </c>
      <c r="I44" s="180" t="s">
        <v>446</v>
      </c>
      <c r="J44" s="180" t="s">
        <v>447</v>
      </c>
      <c r="K44" s="180" t="s">
        <v>448</v>
      </c>
      <c r="L44" s="180" t="s">
        <v>449</v>
      </c>
      <c r="M44" s="180" t="s">
        <v>450</v>
      </c>
      <c r="N44" s="180" t="s">
        <v>451</v>
      </c>
      <c r="O44" s="180" t="s">
        <v>452</v>
      </c>
      <c r="P44" s="180" t="s">
        <v>512</v>
      </c>
      <c r="Q44" s="180" t="s">
        <v>513</v>
      </c>
      <c r="R44" s="180" t="s">
        <v>514</v>
      </c>
      <c r="S44" s="180" t="s">
        <v>515</v>
      </c>
      <c r="T44" s="180" t="s">
        <v>516</v>
      </c>
      <c r="U44" s="180" t="s">
        <v>517</v>
      </c>
      <c r="V44" s="181" t="s">
        <v>518</v>
      </c>
      <c r="W44" s="181" t="s">
        <v>519</v>
      </c>
      <c r="X44" s="180" t="s">
        <v>520</v>
      </c>
      <c r="Y44" s="181" t="s">
        <v>703</v>
      </c>
      <c r="Z44" s="181" t="s">
        <v>521</v>
      </c>
      <c r="AA44" s="181" t="s">
        <v>522</v>
      </c>
      <c r="AB44" s="181" t="s">
        <v>627</v>
      </c>
      <c r="AC44" s="161"/>
      <c r="AD44" s="158" t="s">
        <v>704</v>
      </c>
    </row>
    <row r="45" spans="1:30" x14ac:dyDescent="0.25">
      <c r="A45" s="145" t="s">
        <v>471</v>
      </c>
      <c r="B45" s="146" t="s">
        <v>273</v>
      </c>
      <c r="C45" s="146" t="s">
        <v>273</v>
      </c>
      <c r="D45" s="146" t="s">
        <v>273</v>
      </c>
      <c r="E45" s="146" t="s">
        <v>273</v>
      </c>
      <c r="F45" s="183" t="s">
        <v>273</v>
      </c>
      <c r="G45" s="146" t="s">
        <v>273</v>
      </c>
      <c r="H45" s="146" t="s">
        <v>273</v>
      </c>
      <c r="I45" s="146" t="s">
        <v>273</v>
      </c>
      <c r="J45" s="146" t="s">
        <v>273</v>
      </c>
      <c r="K45" s="146" t="s">
        <v>273</v>
      </c>
      <c r="L45" s="146" t="s">
        <v>273</v>
      </c>
      <c r="M45" s="146" t="s">
        <v>273</v>
      </c>
      <c r="N45" s="146" t="s">
        <v>273</v>
      </c>
      <c r="O45" s="146" t="s">
        <v>273</v>
      </c>
      <c r="P45" s="146" t="s">
        <v>273</v>
      </c>
      <c r="Q45" s="146" t="s">
        <v>273</v>
      </c>
      <c r="R45" s="146" t="s">
        <v>273</v>
      </c>
      <c r="S45" s="146" t="s">
        <v>273</v>
      </c>
      <c r="T45" s="146" t="s">
        <v>273</v>
      </c>
      <c r="U45" s="146" t="s">
        <v>273</v>
      </c>
      <c r="V45" s="183" t="s">
        <v>273</v>
      </c>
      <c r="W45" s="183" t="s">
        <v>273</v>
      </c>
      <c r="X45" s="146" t="s">
        <v>273</v>
      </c>
      <c r="Y45" s="183" t="s">
        <v>273</v>
      </c>
      <c r="Z45" s="183" t="s">
        <v>273</v>
      </c>
      <c r="AA45" s="183" t="s">
        <v>335</v>
      </c>
      <c r="AB45" s="146" t="s">
        <v>273</v>
      </c>
      <c r="AC45" s="146"/>
      <c r="AD45" s="159"/>
    </row>
    <row r="46" spans="1:30" x14ac:dyDescent="0.25">
      <c r="A46" s="145" t="s">
        <v>470</v>
      </c>
      <c r="B46" s="146"/>
      <c r="C46" s="146"/>
      <c r="D46" s="146"/>
      <c r="E46" s="146"/>
      <c r="F46" s="183"/>
      <c r="G46" s="146"/>
      <c r="H46" s="146"/>
      <c r="I46" s="146"/>
      <c r="J46" s="146"/>
      <c r="K46" s="146"/>
      <c r="L46" s="146"/>
      <c r="M46" s="146"/>
      <c r="N46" s="146"/>
      <c r="O46" s="146"/>
      <c r="P46" s="146"/>
      <c r="Q46" s="146"/>
      <c r="R46" s="146"/>
      <c r="S46" s="146"/>
      <c r="T46" s="146"/>
      <c r="U46" s="146"/>
      <c r="V46" s="183"/>
      <c r="W46" s="183"/>
      <c r="X46" s="146"/>
      <c r="Y46" s="183"/>
      <c r="Z46" s="183"/>
      <c r="AA46" s="183"/>
      <c r="AB46" s="146"/>
      <c r="AC46" s="146"/>
      <c r="AD46" s="159"/>
    </row>
    <row r="47" spans="1:30" ht="60" x14ac:dyDescent="0.25">
      <c r="A47" s="145" t="s">
        <v>472</v>
      </c>
      <c r="B47" s="146" t="s">
        <v>705</v>
      </c>
      <c r="C47" s="146" t="s">
        <v>706</v>
      </c>
      <c r="D47" s="146" t="s">
        <v>707</v>
      </c>
      <c r="E47" s="146" t="s">
        <v>708</v>
      </c>
      <c r="F47" s="183" t="s">
        <v>709</v>
      </c>
      <c r="G47" s="146" t="s">
        <v>710</v>
      </c>
      <c r="H47" s="146" t="s">
        <v>711</v>
      </c>
      <c r="I47" s="146" t="s">
        <v>712</v>
      </c>
      <c r="J47" s="146" t="s">
        <v>713</v>
      </c>
      <c r="K47" s="146" t="s">
        <v>714</v>
      </c>
      <c r="L47" s="146" t="s">
        <v>715</v>
      </c>
      <c r="M47" s="146" t="s">
        <v>716</v>
      </c>
      <c r="N47" s="146" t="s">
        <v>717</v>
      </c>
      <c r="O47" s="146" t="s">
        <v>718</v>
      </c>
      <c r="P47" s="146" t="s">
        <v>719</v>
      </c>
      <c r="Q47" s="146" t="s">
        <v>720</v>
      </c>
      <c r="R47" s="146" t="s">
        <v>721</v>
      </c>
      <c r="S47" s="146" t="s">
        <v>722</v>
      </c>
      <c r="T47" s="146" t="s">
        <v>723</v>
      </c>
      <c r="U47" s="146" t="s">
        <v>724</v>
      </c>
      <c r="V47" s="183" t="s">
        <v>725</v>
      </c>
      <c r="W47" s="183" t="s">
        <v>726</v>
      </c>
      <c r="X47" s="146" t="s">
        <v>727</v>
      </c>
      <c r="Y47" s="183" t="s">
        <v>728</v>
      </c>
      <c r="Z47" s="183" t="s">
        <v>729</v>
      </c>
      <c r="AA47" s="183" t="s">
        <v>730</v>
      </c>
      <c r="AB47" s="146" t="s">
        <v>1095</v>
      </c>
      <c r="AC47" s="146"/>
      <c r="AD47" s="159"/>
    </row>
    <row r="48" spans="1:30" ht="45" x14ac:dyDescent="0.25">
      <c r="A48" s="145" t="s">
        <v>473</v>
      </c>
      <c r="B48" s="146" t="str">
        <f t="shared" ref="B48:P48" si="10">CONCATENATE(B44,MsgMandat)</f>
        <v>PIN of Employee is Mandatory field.</v>
      </c>
      <c r="C48" s="146" t="str">
        <f t="shared" si="10"/>
        <v>Name of Employee is Mandatory field.</v>
      </c>
      <c r="D48" s="146" t="str">
        <f t="shared" si="10"/>
        <v>Arrears for the Month is Mandatory field.</v>
      </c>
      <c r="E48" s="183" t="str">
        <f t="shared" si="10"/>
        <v>Arrears Year is Mandatory field.</v>
      </c>
      <c r="F48" s="183" t="str">
        <f t="shared" si="10"/>
        <v>Residential Status is Mandatory field.</v>
      </c>
      <c r="G48" s="146" t="str">
        <f t="shared" si="10"/>
        <v>Type of Employee is Mandatory field.</v>
      </c>
      <c r="H48" s="146" t="str">
        <f t="shared" si="10"/>
        <v>Basic Salary is Mandatory field.</v>
      </c>
      <c r="I48" s="146" t="str">
        <f t="shared" si="10"/>
        <v>Housing Allowance is Mandatory field.</v>
      </c>
      <c r="J48" s="146" t="str">
        <f t="shared" si="10"/>
        <v>Transport Allowance is Mandatory field.</v>
      </c>
      <c r="K48" s="146" t="str">
        <f t="shared" si="10"/>
        <v>Leave Pay is Mandatory field.</v>
      </c>
      <c r="L48" s="146" t="str">
        <f t="shared" si="10"/>
        <v>Over Time Allowance is Mandatory field.</v>
      </c>
      <c r="M48" s="146" t="str">
        <f t="shared" si="10"/>
        <v>Director's Fee is Mandatory field.</v>
      </c>
      <c r="N48" s="146" t="str">
        <f t="shared" si="10"/>
        <v>Lump Sum Payment if any is Mandatory field.</v>
      </c>
      <c r="O48" s="146" t="str">
        <f t="shared" si="10"/>
        <v>Other Allowance is Mandatory field.</v>
      </c>
      <c r="P48" s="146" t="str">
        <f t="shared" si="10"/>
        <v>Other Non cash Benefits is Mandatory field.</v>
      </c>
      <c r="Q48" s="146" t="str">
        <f t="shared" ref="Q48:W48" si="11">CONCATENATE(Q44,MsgMandat)</f>
        <v>Global Income (In case of non full time service Director) is Mandatory field.</v>
      </c>
      <c r="R48" s="146" t="str">
        <f t="shared" si="11"/>
        <v>Type of Housing is Mandatory field.</v>
      </c>
      <c r="S48" s="146" t="str">
        <f t="shared" si="11"/>
        <v>Rent of House is Mandatory field.</v>
      </c>
      <c r="T48" s="146" t="str">
        <f t="shared" si="11"/>
        <v>Rent Recovered from Employee is Mandatory field.</v>
      </c>
      <c r="U48" s="183" t="str">
        <f t="shared" si="11"/>
        <v>Actual Contribution is Mandatory field.</v>
      </c>
      <c r="V48" s="183" t="str">
        <f t="shared" si="11"/>
        <v>Mortgage Interest is Mandatory field.</v>
      </c>
      <c r="W48" s="183" t="str">
        <f t="shared" si="11"/>
        <v>Deposit on Home Ownership Saving Plan is Mandatory field.</v>
      </c>
      <c r="X48" s="183" t="str">
        <f>CONCATENATE(X44,MsgMandat)</f>
        <v>Monthly Personal Relief is Mandatory field.</v>
      </c>
      <c r="Y48" s="183" t="str">
        <f>CONCATENATE(Y44,MsgMandat)</f>
        <v>Amount of PAYE Already Paid  is Mandatory field.</v>
      </c>
      <c r="Z48" s="183" t="str">
        <f>CONCATENATE(Z44,MsgMandat)</f>
        <v>Self Assessed PAYE Tax is Mandatory field.</v>
      </c>
      <c r="AA48" s="183" t="str">
        <f>CONCATENATE(AA44,MsgMandat)</f>
        <v>Amount of Insurance Relief is Mandatory field.</v>
      </c>
      <c r="AB48" s="146" t="s">
        <v>1093</v>
      </c>
      <c r="AC48" s="146"/>
      <c r="AD48" s="159"/>
    </row>
    <row r="49" spans="1:30" ht="60" x14ac:dyDescent="0.25">
      <c r="A49" s="145" t="s">
        <v>474</v>
      </c>
      <c r="B49" s="146" t="s">
        <v>731</v>
      </c>
      <c r="C49" s="146" t="s">
        <v>732</v>
      </c>
      <c r="D49" s="146" t="s">
        <v>733</v>
      </c>
      <c r="E49" s="146"/>
      <c r="F49" s="146"/>
      <c r="G49" s="146"/>
      <c r="H49" s="146" t="s">
        <v>734</v>
      </c>
      <c r="I49" s="146" t="s">
        <v>735</v>
      </c>
      <c r="J49" s="146" t="s">
        <v>736</v>
      </c>
      <c r="K49" s="146" t="s">
        <v>737</v>
      </c>
      <c r="L49" s="146" t="s">
        <v>738</v>
      </c>
      <c r="M49" s="146" t="s">
        <v>739</v>
      </c>
      <c r="N49" s="146" t="s">
        <v>740</v>
      </c>
      <c r="O49" s="146" t="s">
        <v>741</v>
      </c>
      <c r="P49" s="146" t="s">
        <v>742</v>
      </c>
      <c r="Q49" s="146" t="s">
        <v>743</v>
      </c>
      <c r="R49" s="146"/>
      <c r="S49" s="146" t="s">
        <v>744</v>
      </c>
      <c r="T49" s="146" t="s">
        <v>745</v>
      </c>
      <c r="U49" s="146" t="s">
        <v>746</v>
      </c>
      <c r="V49" s="183" t="s">
        <v>747</v>
      </c>
      <c r="W49" s="183" t="s">
        <v>748</v>
      </c>
      <c r="X49" s="146" t="s">
        <v>749</v>
      </c>
      <c r="Y49" s="183" t="s">
        <v>750</v>
      </c>
      <c r="Z49" s="183" t="s">
        <v>751</v>
      </c>
      <c r="AA49" s="183" t="s">
        <v>752</v>
      </c>
      <c r="AB49" s="146"/>
      <c r="AC49" s="146"/>
      <c r="AD49" s="159"/>
    </row>
    <row r="50" spans="1:30" ht="45" x14ac:dyDescent="0.25">
      <c r="A50" s="147" t="s">
        <v>473</v>
      </c>
      <c r="B50" s="196" t="s">
        <v>1097</v>
      </c>
      <c r="C50" s="184"/>
      <c r="D50" s="184" t="s">
        <v>753</v>
      </c>
      <c r="E50" s="184"/>
      <c r="F50" s="162"/>
      <c r="G50" s="162"/>
      <c r="H50" s="162" t="str">
        <f t="shared" ref="H50:Q50" si="12">MsgNum</f>
        <v>Please enter numeric value only.</v>
      </c>
      <c r="I50" s="162" t="str">
        <f t="shared" si="12"/>
        <v>Please enter numeric value only.</v>
      </c>
      <c r="J50" s="162" t="str">
        <f t="shared" si="12"/>
        <v>Please enter numeric value only.</v>
      </c>
      <c r="K50" s="162" t="str">
        <f t="shared" si="12"/>
        <v>Please enter numeric value only.</v>
      </c>
      <c r="L50" s="162" t="str">
        <f t="shared" si="12"/>
        <v>Please enter numeric value only.</v>
      </c>
      <c r="M50" s="162" t="str">
        <f t="shared" si="12"/>
        <v>Please enter numeric value only.</v>
      </c>
      <c r="N50" s="162" t="str">
        <f t="shared" si="12"/>
        <v>Please enter numeric value only.</v>
      </c>
      <c r="O50" s="162" t="str">
        <f t="shared" si="12"/>
        <v>Please enter numeric value only.</v>
      </c>
      <c r="P50" s="162" t="str">
        <f t="shared" si="12"/>
        <v>Please enter numeric value only.</v>
      </c>
      <c r="Q50" s="162" t="str">
        <f t="shared" si="12"/>
        <v>Please enter numeric value only.</v>
      </c>
      <c r="R50" s="162"/>
      <c r="S50" s="162" t="str">
        <f t="shared" ref="S50:Z50" si="13">MsgNum</f>
        <v>Please enter numeric value only.</v>
      </c>
      <c r="T50" s="162" t="str">
        <f t="shared" si="13"/>
        <v>Please enter numeric value only.</v>
      </c>
      <c r="U50" s="162" t="str">
        <f t="shared" si="13"/>
        <v>Please enter numeric value only.</v>
      </c>
      <c r="V50" s="184" t="str">
        <f t="shared" si="13"/>
        <v>Please enter numeric value only.</v>
      </c>
      <c r="W50" s="184" t="str">
        <f t="shared" si="13"/>
        <v>Please enter numeric value only.</v>
      </c>
      <c r="X50" s="162" t="str">
        <f>MsgNum</f>
        <v>Please enter numeric value only.</v>
      </c>
      <c r="Y50" s="184" t="str">
        <f t="shared" si="13"/>
        <v>Please enter numeric value only.</v>
      </c>
      <c r="Z50" s="184" t="str">
        <f t="shared" si="13"/>
        <v>Please enter numeric value only.</v>
      </c>
      <c r="AA50" s="184" t="str">
        <f>MsgNum</f>
        <v>Please enter numeric value only.</v>
      </c>
      <c r="AB50" s="162"/>
      <c r="AC50" s="162"/>
      <c r="AD50" s="160"/>
    </row>
    <row r="52" spans="1:30" ht="30" x14ac:dyDescent="0.25">
      <c r="A52" s="179" t="s">
        <v>95</v>
      </c>
      <c r="B52" s="180" t="s">
        <v>407</v>
      </c>
      <c r="C52" s="180" t="s">
        <v>408</v>
      </c>
      <c r="D52" s="180" t="s">
        <v>701</v>
      </c>
      <c r="E52" s="180" t="s">
        <v>702</v>
      </c>
      <c r="F52" s="181" t="s">
        <v>510</v>
      </c>
      <c r="G52" s="180" t="s">
        <v>511</v>
      </c>
      <c r="H52" s="180" t="s">
        <v>567</v>
      </c>
      <c r="I52" s="180" t="s">
        <v>445</v>
      </c>
      <c r="J52" s="180" t="s">
        <v>446</v>
      </c>
      <c r="K52" s="180" t="s">
        <v>447</v>
      </c>
      <c r="L52" s="180" t="s">
        <v>448</v>
      </c>
      <c r="M52" s="180" t="s">
        <v>449</v>
      </c>
      <c r="N52" s="180" t="s">
        <v>450</v>
      </c>
      <c r="O52" s="180" t="s">
        <v>451</v>
      </c>
      <c r="P52" s="180" t="s">
        <v>452</v>
      </c>
      <c r="Q52" s="180" t="s">
        <v>512</v>
      </c>
      <c r="R52" s="180" t="s">
        <v>513</v>
      </c>
      <c r="S52" s="180" t="s">
        <v>514</v>
      </c>
      <c r="T52" s="180" t="s">
        <v>515</v>
      </c>
      <c r="U52" s="180" t="s">
        <v>516</v>
      </c>
      <c r="V52" s="180" t="s">
        <v>517</v>
      </c>
      <c r="W52" s="181" t="s">
        <v>518</v>
      </c>
      <c r="X52" s="181" t="s">
        <v>519</v>
      </c>
      <c r="Y52" s="180" t="s">
        <v>520</v>
      </c>
      <c r="Z52" s="181" t="s">
        <v>703</v>
      </c>
      <c r="AA52" s="181" t="s">
        <v>521</v>
      </c>
      <c r="AB52" s="181" t="s">
        <v>522</v>
      </c>
      <c r="AC52" s="181" t="s">
        <v>627</v>
      </c>
      <c r="AD52" s="158" t="s">
        <v>754</v>
      </c>
    </row>
    <row r="53" spans="1:30" x14ac:dyDescent="0.25">
      <c r="A53" s="145" t="s">
        <v>471</v>
      </c>
      <c r="B53" s="146" t="s">
        <v>273</v>
      </c>
      <c r="C53" s="146" t="s">
        <v>273</v>
      </c>
      <c r="D53" s="146" t="s">
        <v>273</v>
      </c>
      <c r="E53" s="146" t="s">
        <v>273</v>
      </c>
      <c r="F53" s="183" t="s">
        <v>273</v>
      </c>
      <c r="G53" s="146" t="s">
        <v>273</v>
      </c>
      <c r="H53" s="146" t="s">
        <v>273</v>
      </c>
      <c r="I53" s="146" t="s">
        <v>273</v>
      </c>
      <c r="J53" s="146" t="s">
        <v>273</v>
      </c>
      <c r="K53" s="146" t="s">
        <v>273</v>
      </c>
      <c r="L53" s="146" t="s">
        <v>273</v>
      </c>
      <c r="M53" s="146" t="s">
        <v>273</v>
      </c>
      <c r="N53" s="146" t="s">
        <v>273</v>
      </c>
      <c r="O53" s="146" t="s">
        <v>273</v>
      </c>
      <c r="P53" s="146" t="s">
        <v>273</v>
      </c>
      <c r="Q53" s="146" t="s">
        <v>273</v>
      </c>
      <c r="R53" s="146" t="s">
        <v>273</v>
      </c>
      <c r="S53" s="146" t="s">
        <v>273</v>
      </c>
      <c r="T53" s="146" t="s">
        <v>273</v>
      </c>
      <c r="U53" s="146" t="s">
        <v>273</v>
      </c>
      <c r="V53" s="146" t="s">
        <v>273</v>
      </c>
      <c r="W53" s="183" t="s">
        <v>273</v>
      </c>
      <c r="X53" s="183" t="s">
        <v>273</v>
      </c>
      <c r="Y53" s="146" t="s">
        <v>273</v>
      </c>
      <c r="Z53" s="183" t="s">
        <v>273</v>
      </c>
      <c r="AA53" s="183" t="s">
        <v>273</v>
      </c>
      <c r="AB53" s="183" t="s">
        <v>335</v>
      </c>
      <c r="AC53" s="183" t="s">
        <v>273</v>
      </c>
      <c r="AD53" s="159"/>
    </row>
    <row r="54" spans="1:30" x14ac:dyDescent="0.25">
      <c r="A54" s="145" t="s">
        <v>470</v>
      </c>
      <c r="B54" s="146"/>
      <c r="C54" s="146"/>
      <c r="D54" s="146"/>
      <c r="E54" s="146"/>
      <c r="F54" s="183"/>
      <c r="G54" s="146"/>
      <c r="H54" s="146"/>
      <c r="I54" s="146"/>
      <c r="J54" s="146"/>
      <c r="K54" s="146"/>
      <c r="L54" s="146"/>
      <c r="M54" s="146"/>
      <c r="N54" s="146"/>
      <c r="O54" s="146"/>
      <c r="P54" s="146"/>
      <c r="Q54" s="146"/>
      <c r="R54" s="146"/>
      <c r="S54" s="146"/>
      <c r="T54" s="146"/>
      <c r="U54" s="146"/>
      <c r="V54" s="146"/>
      <c r="W54" s="183"/>
      <c r="X54" s="183"/>
      <c r="Y54" s="146"/>
      <c r="Z54" s="183"/>
      <c r="AA54" s="183"/>
      <c r="AB54" s="183"/>
      <c r="AC54" s="183"/>
      <c r="AD54" s="159"/>
    </row>
    <row r="55" spans="1:30" ht="60" x14ac:dyDescent="0.25">
      <c r="A55" s="145" t="s">
        <v>472</v>
      </c>
      <c r="B55" s="146" t="s">
        <v>755</v>
      </c>
      <c r="C55" s="146" t="s">
        <v>756</v>
      </c>
      <c r="D55" s="146" t="s">
        <v>757</v>
      </c>
      <c r="E55" s="146" t="s">
        <v>758</v>
      </c>
      <c r="F55" s="183" t="s">
        <v>759</v>
      </c>
      <c r="G55" s="146" t="s">
        <v>760</v>
      </c>
      <c r="H55" s="146" t="s">
        <v>761</v>
      </c>
      <c r="I55" s="146" t="s">
        <v>762</v>
      </c>
      <c r="J55" s="146" t="s">
        <v>763</v>
      </c>
      <c r="K55" s="146" t="s">
        <v>764</v>
      </c>
      <c r="L55" s="146" t="s">
        <v>765</v>
      </c>
      <c r="M55" s="146" t="s">
        <v>766</v>
      </c>
      <c r="N55" s="146" t="s">
        <v>767</v>
      </c>
      <c r="O55" s="146" t="s">
        <v>768</v>
      </c>
      <c r="P55" s="146" t="s">
        <v>769</v>
      </c>
      <c r="Q55" s="146" t="s">
        <v>770</v>
      </c>
      <c r="R55" s="146" t="s">
        <v>771</v>
      </c>
      <c r="S55" s="146" t="s">
        <v>772</v>
      </c>
      <c r="T55" s="146" t="s">
        <v>773</v>
      </c>
      <c r="U55" s="146" t="s">
        <v>774</v>
      </c>
      <c r="V55" s="146" t="s">
        <v>775</v>
      </c>
      <c r="W55" s="183" t="s">
        <v>776</v>
      </c>
      <c r="X55" s="183" t="s">
        <v>777</v>
      </c>
      <c r="Y55" s="146" t="s">
        <v>778</v>
      </c>
      <c r="Z55" s="183" t="s">
        <v>779</v>
      </c>
      <c r="AA55" s="183" t="s">
        <v>780</v>
      </c>
      <c r="AB55" s="183" t="s">
        <v>781</v>
      </c>
      <c r="AC55" s="183" t="s">
        <v>1096</v>
      </c>
      <c r="AD55" s="159"/>
    </row>
    <row r="56" spans="1:30" ht="45" x14ac:dyDescent="0.25">
      <c r="A56" s="145" t="s">
        <v>473</v>
      </c>
      <c r="B56" s="146" t="str">
        <f t="shared" ref="B56:Q56" si="14">CONCATENATE(B52,MsgMandat)</f>
        <v>PIN of Employee is Mandatory field.</v>
      </c>
      <c r="C56" s="146" t="str">
        <f t="shared" si="14"/>
        <v>Name of Employee is Mandatory field.</v>
      </c>
      <c r="D56" s="146" t="str">
        <f t="shared" si="14"/>
        <v>Arrears for the Month is Mandatory field.</v>
      </c>
      <c r="E56" s="146" t="str">
        <f t="shared" si="14"/>
        <v>Arrears Year is Mandatory field.</v>
      </c>
      <c r="F56" s="183" t="str">
        <f t="shared" si="14"/>
        <v>Residential Status is Mandatory field.</v>
      </c>
      <c r="G56" s="146" t="str">
        <f t="shared" si="14"/>
        <v>Type of Employee is Mandatory field.</v>
      </c>
      <c r="H56" s="146" t="str">
        <f t="shared" si="14"/>
        <v>Exemption Certificate Number is Mandatory field.</v>
      </c>
      <c r="I56" s="146" t="str">
        <f t="shared" si="14"/>
        <v>Basic Salary is Mandatory field.</v>
      </c>
      <c r="J56" s="146" t="str">
        <f t="shared" si="14"/>
        <v>Housing Allowance is Mandatory field.</v>
      </c>
      <c r="K56" s="146" t="str">
        <f t="shared" si="14"/>
        <v>Transport Allowance is Mandatory field.</v>
      </c>
      <c r="L56" s="146" t="str">
        <f t="shared" si="14"/>
        <v>Leave Pay is Mandatory field.</v>
      </c>
      <c r="M56" s="146" t="str">
        <f t="shared" si="14"/>
        <v>Over Time Allowance is Mandatory field.</v>
      </c>
      <c r="N56" s="146" t="str">
        <f t="shared" si="14"/>
        <v>Director's Fee is Mandatory field.</v>
      </c>
      <c r="O56" s="146" t="str">
        <f t="shared" si="14"/>
        <v>Lump Sum Payment if any is Mandatory field.</v>
      </c>
      <c r="P56" s="146" t="str">
        <f t="shared" si="14"/>
        <v>Other Allowance is Mandatory field.</v>
      </c>
      <c r="Q56" s="146" t="str">
        <f t="shared" si="14"/>
        <v>Other Non cash Benefits is Mandatory field.</v>
      </c>
      <c r="R56" s="146" t="str">
        <f t="shared" ref="R56:X56" si="15">CONCATENATE(R52,MsgMandat)</f>
        <v>Global Income (In case of non full time service Director) is Mandatory field.</v>
      </c>
      <c r="S56" s="146" t="str">
        <f t="shared" si="15"/>
        <v>Type of Housing is Mandatory field.</v>
      </c>
      <c r="T56" s="146" t="str">
        <f t="shared" si="15"/>
        <v>Rent of House is Mandatory field.</v>
      </c>
      <c r="U56" s="146" t="str">
        <f t="shared" si="15"/>
        <v>Rent Recovered from Employee is Mandatory field.</v>
      </c>
      <c r="V56" s="183" t="str">
        <f t="shared" si="15"/>
        <v>Actual Contribution is Mandatory field.</v>
      </c>
      <c r="W56" s="183" t="str">
        <f t="shared" si="15"/>
        <v>Mortgage Interest is Mandatory field.</v>
      </c>
      <c r="X56" s="183" t="str">
        <f t="shared" si="15"/>
        <v>Deposit on Home Ownership Saving Plan is Mandatory field.</v>
      </c>
      <c r="Y56" s="183" t="str">
        <f>CONCATENATE(Y52,MsgMandat)</f>
        <v>Monthly Personal Relief is Mandatory field.</v>
      </c>
      <c r="Z56" s="183" t="str">
        <f>CONCATENATE(Z52,MsgMandat)</f>
        <v>Amount of PAYE Already Paid  is Mandatory field.</v>
      </c>
      <c r="AA56" s="183" t="str">
        <f>CONCATENATE(AA52,MsgMandat)</f>
        <v>Self Assessed PAYE Tax is Mandatory field.</v>
      </c>
      <c r="AB56" s="183" t="str">
        <f>CONCATENATE(AB52,MsgMandat)</f>
        <v>Amount of Insurance Relief is Mandatory field.</v>
      </c>
      <c r="AC56" s="183" t="s">
        <v>1093</v>
      </c>
      <c r="AD56" s="159"/>
    </row>
    <row r="57" spans="1:30" ht="60" x14ac:dyDescent="0.25">
      <c r="A57" s="145" t="s">
        <v>474</v>
      </c>
      <c r="B57" s="146" t="s">
        <v>782</v>
      </c>
      <c r="C57" s="146" t="s">
        <v>783</v>
      </c>
      <c r="D57" s="146" t="s">
        <v>784</v>
      </c>
      <c r="E57" s="146"/>
      <c r="F57" s="146"/>
      <c r="G57" s="146"/>
      <c r="H57" s="146" t="s">
        <v>785</v>
      </c>
      <c r="I57" s="146" t="s">
        <v>786</v>
      </c>
      <c r="J57" s="146" t="s">
        <v>787</v>
      </c>
      <c r="K57" s="146" t="s">
        <v>788</v>
      </c>
      <c r="L57" s="146" t="s">
        <v>789</v>
      </c>
      <c r="M57" s="146" t="s">
        <v>790</v>
      </c>
      <c r="N57" s="146" t="s">
        <v>791</v>
      </c>
      <c r="O57" s="146" t="s">
        <v>792</v>
      </c>
      <c r="P57" s="146" t="s">
        <v>793</v>
      </c>
      <c r="Q57" s="146" t="s">
        <v>794</v>
      </c>
      <c r="R57" s="146" t="s">
        <v>795</v>
      </c>
      <c r="S57" s="146"/>
      <c r="T57" s="146" t="s">
        <v>796</v>
      </c>
      <c r="U57" s="146" t="s">
        <v>797</v>
      </c>
      <c r="V57" s="146" t="s">
        <v>798</v>
      </c>
      <c r="W57" s="183" t="s">
        <v>799</v>
      </c>
      <c r="X57" s="183" t="s">
        <v>800</v>
      </c>
      <c r="Y57" s="146" t="s">
        <v>801</v>
      </c>
      <c r="Z57" s="183" t="s">
        <v>802</v>
      </c>
      <c r="AA57" s="183" t="s">
        <v>803</v>
      </c>
      <c r="AB57" s="183" t="s">
        <v>804</v>
      </c>
      <c r="AC57" s="183"/>
      <c r="AD57" s="159"/>
    </row>
    <row r="58" spans="1:30" ht="45" x14ac:dyDescent="0.25">
      <c r="A58" s="147" t="s">
        <v>473</v>
      </c>
      <c r="B58" s="162" t="s">
        <v>1097</v>
      </c>
      <c r="C58" s="184" t="str">
        <f>MsgAlpNumSpl</f>
        <v>Please enter alphanumeric value. Only Special characters like (space , . / - :) are allowed.</v>
      </c>
      <c r="D58" s="162" t="s">
        <v>753</v>
      </c>
      <c r="E58" s="162"/>
      <c r="F58" s="162"/>
      <c r="G58" s="162"/>
      <c r="H58" s="162" t="str">
        <f>MsgAlpNum</f>
        <v>Please enter alphanumeric value. Special characters  are  not allowed.</v>
      </c>
      <c r="I58" s="162" t="str">
        <f t="shared" ref="I58:R58" si="16">MsgNum</f>
        <v>Please enter numeric value only.</v>
      </c>
      <c r="J58" s="162" t="str">
        <f t="shared" si="16"/>
        <v>Please enter numeric value only.</v>
      </c>
      <c r="K58" s="162" t="str">
        <f t="shared" si="16"/>
        <v>Please enter numeric value only.</v>
      </c>
      <c r="L58" s="162" t="str">
        <f t="shared" si="16"/>
        <v>Please enter numeric value only.</v>
      </c>
      <c r="M58" s="162" t="str">
        <f t="shared" si="16"/>
        <v>Please enter numeric value only.</v>
      </c>
      <c r="N58" s="162" t="str">
        <f t="shared" si="16"/>
        <v>Please enter numeric value only.</v>
      </c>
      <c r="O58" s="162" t="str">
        <f t="shared" si="16"/>
        <v>Please enter numeric value only.</v>
      </c>
      <c r="P58" s="162" t="str">
        <f t="shared" si="16"/>
        <v>Please enter numeric value only.</v>
      </c>
      <c r="Q58" s="162" t="str">
        <f t="shared" si="16"/>
        <v>Please enter numeric value only.</v>
      </c>
      <c r="R58" s="162" t="str">
        <f t="shared" si="16"/>
        <v>Please enter numeric value only.</v>
      </c>
      <c r="S58" s="162"/>
      <c r="T58" s="162" t="str">
        <f t="shared" ref="T58:AA58" si="17">MsgNum</f>
        <v>Please enter numeric value only.</v>
      </c>
      <c r="U58" s="162" t="str">
        <f t="shared" si="17"/>
        <v>Please enter numeric value only.</v>
      </c>
      <c r="V58" s="184" t="str">
        <f t="shared" si="17"/>
        <v>Please enter numeric value only.</v>
      </c>
      <c r="W58" s="184" t="str">
        <f t="shared" si="17"/>
        <v>Please enter numeric value only.</v>
      </c>
      <c r="X58" s="184" t="str">
        <f t="shared" si="17"/>
        <v>Please enter numeric value only.</v>
      </c>
      <c r="Y58" s="184" t="str">
        <f>MsgNum</f>
        <v>Please enter numeric value only.</v>
      </c>
      <c r="Z58" s="184" t="str">
        <f t="shared" si="17"/>
        <v>Please enter numeric value only.</v>
      </c>
      <c r="AA58" s="184" t="str">
        <f t="shared" si="17"/>
        <v>Please enter numeric value only.</v>
      </c>
      <c r="AB58" s="184" t="str">
        <f>MsgNum</f>
        <v>Please enter numeric value only.</v>
      </c>
      <c r="AC58" s="184"/>
      <c r="AD58" s="160"/>
    </row>
    <row r="60" spans="1:30" x14ac:dyDescent="0.25">
      <c r="A60" s="179" t="s">
        <v>805</v>
      </c>
      <c r="B60" s="180" t="s">
        <v>407</v>
      </c>
      <c r="C60" s="180" t="s">
        <v>408</v>
      </c>
      <c r="D60" s="180" t="s">
        <v>465</v>
      </c>
      <c r="E60" s="180" t="s">
        <v>806</v>
      </c>
      <c r="F60" s="180" t="s">
        <v>807</v>
      </c>
      <c r="G60" s="180" t="s">
        <v>808</v>
      </c>
      <c r="H60" s="180" t="s">
        <v>809</v>
      </c>
      <c r="I60" s="161"/>
      <c r="J60" s="161"/>
      <c r="K60" s="161"/>
      <c r="L60" s="161"/>
      <c r="M60" s="161"/>
      <c r="N60" s="161"/>
      <c r="O60" s="161"/>
      <c r="P60" s="161"/>
      <c r="Q60" s="161"/>
      <c r="R60" s="161"/>
      <c r="S60" s="161"/>
      <c r="T60" s="161"/>
      <c r="U60" s="161"/>
      <c r="V60" s="161"/>
      <c r="W60" s="161"/>
      <c r="X60" s="161"/>
      <c r="Y60" s="161"/>
      <c r="Z60" s="161"/>
      <c r="AA60" s="161"/>
      <c r="AB60" s="161"/>
      <c r="AC60" s="161"/>
      <c r="AD60" s="158" t="s">
        <v>810</v>
      </c>
    </row>
    <row r="61" spans="1:30" x14ac:dyDescent="0.25">
      <c r="A61" s="145" t="s">
        <v>471</v>
      </c>
      <c r="B61" s="146" t="s">
        <v>273</v>
      </c>
      <c r="C61" s="146" t="s">
        <v>273</v>
      </c>
      <c r="D61" s="146" t="s">
        <v>273</v>
      </c>
      <c r="E61" s="146" t="s">
        <v>273</v>
      </c>
      <c r="F61" s="146" t="s">
        <v>273</v>
      </c>
      <c r="G61" s="146" t="s">
        <v>273</v>
      </c>
      <c r="H61" s="146" t="s">
        <v>273</v>
      </c>
      <c r="I61" s="146"/>
      <c r="J61" s="146"/>
      <c r="K61" s="146"/>
      <c r="L61" s="146"/>
      <c r="M61" s="146"/>
      <c r="N61" s="146"/>
      <c r="O61" s="146"/>
      <c r="P61" s="146"/>
      <c r="Q61" s="146"/>
      <c r="R61" s="146"/>
      <c r="S61" s="146"/>
      <c r="T61" s="146"/>
      <c r="U61" s="146"/>
      <c r="V61" s="146"/>
      <c r="W61" s="146"/>
      <c r="X61" s="146"/>
      <c r="Y61" s="146"/>
      <c r="Z61" s="146"/>
      <c r="AA61" s="146"/>
      <c r="AB61" s="146"/>
      <c r="AC61" s="146"/>
      <c r="AD61" s="159"/>
    </row>
    <row r="62" spans="1:30" x14ac:dyDescent="0.25">
      <c r="A62" s="145" t="s">
        <v>470</v>
      </c>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59"/>
    </row>
    <row r="63" spans="1:30" x14ac:dyDescent="0.25">
      <c r="A63" s="145" t="s">
        <v>472</v>
      </c>
      <c r="B63" s="146" t="s">
        <v>811</v>
      </c>
      <c r="C63" s="146" t="s">
        <v>812</v>
      </c>
      <c r="D63" s="146" t="s">
        <v>813</v>
      </c>
      <c r="E63" s="146" t="s">
        <v>814</v>
      </c>
      <c r="F63" s="146" t="s">
        <v>815</v>
      </c>
      <c r="G63" s="146" t="s">
        <v>816</v>
      </c>
      <c r="H63" s="146" t="s">
        <v>817</v>
      </c>
      <c r="I63" s="146"/>
      <c r="J63" s="146"/>
      <c r="K63" s="146"/>
      <c r="L63" s="146"/>
      <c r="M63" s="146"/>
      <c r="N63" s="146"/>
      <c r="O63" s="146"/>
      <c r="P63" s="146"/>
      <c r="Q63" s="146"/>
      <c r="R63" s="146"/>
      <c r="S63" s="146"/>
      <c r="T63" s="146"/>
      <c r="U63" s="146"/>
      <c r="V63" s="146"/>
      <c r="W63" s="146"/>
      <c r="X63" s="146"/>
      <c r="Y63" s="146"/>
      <c r="Z63" s="146"/>
      <c r="AA63" s="146"/>
      <c r="AB63" s="146"/>
      <c r="AC63" s="146"/>
      <c r="AD63" s="159"/>
    </row>
    <row r="64" spans="1:30" x14ac:dyDescent="0.25">
      <c r="A64" s="145" t="s">
        <v>473</v>
      </c>
      <c r="B64" s="146" t="str">
        <f t="shared" ref="B64:H64" si="18">CONCATENATE(B60,MsgMandat)</f>
        <v>PIN of Employee is Mandatory field.</v>
      </c>
      <c r="C64" s="146" t="str">
        <f t="shared" si="18"/>
        <v>Name of Employee is Mandatory field.</v>
      </c>
      <c r="D64" s="146" t="str">
        <f t="shared" si="18"/>
        <v>Loan Account Number is Mandatory field.</v>
      </c>
      <c r="E64" s="146" t="str">
        <f t="shared" si="18"/>
        <v>Loan Amount is Mandatory field.</v>
      </c>
      <c r="F64" s="146" t="str">
        <f t="shared" si="18"/>
        <v>Amount of Loan Outstanding is Mandatory field.</v>
      </c>
      <c r="G64" s="146" t="str">
        <f t="shared" si="18"/>
        <v>Rate of Interest on Loan is Mandatory field.</v>
      </c>
      <c r="H64" s="146" t="str">
        <f t="shared" si="18"/>
        <v>Prescribed Market Interest Rate is Mandatory field.</v>
      </c>
      <c r="I64" s="146"/>
      <c r="J64" s="146"/>
      <c r="K64" s="146"/>
      <c r="L64" s="146"/>
      <c r="M64" s="146"/>
      <c r="N64" s="146"/>
      <c r="O64" s="146"/>
      <c r="P64" s="146"/>
      <c r="Q64" s="146"/>
      <c r="R64" s="146"/>
      <c r="S64" s="146"/>
      <c r="T64" s="146"/>
      <c r="U64" s="146"/>
      <c r="V64" s="146"/>
      <c r="W64" s="146"/>
      <c r="X64" s="146"/>
      <c r="Y64" s="146"/>
      <c r="Z64" s="146"/>
      <c r="AA64" s="146"/>
      <c r="AB64" s="146"/>
      <c r="AC64" s="146"/>
      <c r="AD64" s="159"/>
    </row>
    <row r="65" spans="1:30" x14ac:dyDescent="0.25">
      <c r="A65" s="145" t="s">
        <v>474</v>
      </c>
      <c r="B65" s="146" t="s">
        <v>818</v>
      </c>
      <c r="C65" s="146" t="s">
        <v>819</v>
      </c>
      <c r="D65" s="146" t="s">
        <v>820</v>
      </c>
      <c r="E65" s="146" t="s">
        <v>821</v>
      </c>
      <c r="F65" s="146" t="s">
        <v>822</v>
      </c>
      <c r="G65" s="146"/>
      <c r="H65" s="146" t="s">
        <v>823</v>
      </c>
      <c r="I65" s="146"/>
      <c r="J65" s="146"/>
      <c r="K65" s="146"/>
      <c r="L65" s="146"/>
      <c r="M65" s="146"/>
      <c r="N65" s="146"/>
      <c r="O65" s="146"/>
      <c r="P65" s="146"/>
      <c r="Q65" s="146"/>
      <c r="R65" s="146"/>
      <c r="S65" s="146"/>
      <c r="T65" s="146"/>
      <c r="U65" s="146"/>
      <c r="V65" s="146"/>
      <c r="W65" s="146"/>
      <c r="X65" s="146"/>
      <c r="Y65" s="146"/>
      <c r="Z65" s="146"/>
      <c r="AA65" s="146"/>
      <c r="AB65" s="146"/>
      <c r="AC65" s="146"/>
      <c r="AD65" s="159"/>
    </row>
    <row r="66" spans="1:30" ht="30" x14ac:dyDescent="0.25">
      <c r="A66" s="147" t="s">
        <v>473</v>
      </c>
      <c r="B66" s="162" t="str">
        <f>CONCATENATE(B60,MsgPINDup)</f>
        <v>PIN of Employee can not be same as  Taxpayer's PIN.</v>
      </c>
      <c r="C66" s="162" t="str">
        <f>MsgAlpNumSpl</f>
        <v>Please enter alphanumeric value. Only Special characters like (space , . / - :) are allowed.</v>
      </c>
      <c r="D66" s="184" t="str">
        <f>MsgAlpNum</f>
        <v>Please enter alphanumeric value. Special characters  are  not allowed.</v>
      </c>
      <c r="E66" s="162" t="str">
        <f>MsgNum</f>
        <v>Please enter numeric value only.</v>
      </c>
      <c r="F66" s="162" t="str">
        <f>MsgNum</f>
        <v>Please enter numeric value only.</v>
      </c>
      <c r="G66" s="162"/>
      <c r="H66" s="162" t="str">
        <f>MsgNum</f>
        <v>Please enter numeric value only.</v>
      </c>
      <c r="I66" s="162"/>
      <c r="J66" s="162"/>
      <c r="K66" s="162"/>
      <c r="L66" s="162"/>
      <c r="M66" s="162"/>
      <c r="N66" s="162"/>
      <c r="O66" s="162"/>
      <c r="P66" s="162"/>
      <c r="Q66" s="162"/>
      <c r="R66" s="162"/>
      <c r="S66" s="162"/>
      <c r="T66" s="162"/>
      <c r="U66" s="162"/>
      <c r="V66" s="162"/>
      <c r="W66" s="162"/>
      <c r="X66" s="162"/>
      <c r="Y66" s="162"/>
      <c r="Z66" s="162"/>
      <c r="AA66" s="162"/>
      <c r="AB66" s="162"/>
      <c r="AC66" s="162"/>
      <c r="AD66" s="160"/>
    </row>
    <row r="68" spans="1:30" x14ac:dyDescent="0.25">
      <c r="A68" s="179" t="s">
        <v>824</v>
      </c>
      <c r="B68" s="180" t="s">
        <v>407</v>
      </c>
      <c r="C68" s="180" t="s">
        <v>408</v>
      </c>
      <c r="D68" s="180" t="s">
        <v>825</v>
      </c>
      <c r="E68" s="180" t="s">
        <v>826</v>
      </c>
      <c r="F68" s="180" t="s">
        <v>1148</v>
      </c>
      <c r="G68" s="180" t="s">
        <v>827</v>
      </c>
      <c r="H68" s="180" t="s">
        <v>828</v>
      </c>
      <c r="I68" s="180"/>
      <c r="J68" s="161"/>
      <c r="K68" s="161"/>
      <c r="L68" s="161"/>
      <c r="M68" s="161"/>
      <c r="N68" s="161"/>
      <c r="O68" s="161"/>
      <c r="P68" s="161"/>
      <c r="Q68" s="161"/>
      <c r="R68" s="161"/>
      <c r="S68" s="161"/>
      <c r="T68" s="161"/>
      <c r="U68" s="161"/>
      <c r="V68" s="161"/>
      <c r="W68" s="161"/>
      <c r="X68" s="161"/>
      <c r="Y68" s="161"/>
      <c r="Z68" s="161"/>
      <c r="AA68" s="161"/>
      <c r="AB68" s="161"/>
      <c r="AC68" s="161"/>
      <c r="AD68" s="158" t="s">
        <v>829</v>
      </c>
    </row>
    <row r="69" spans="1:30" x14ac:dyDescent="0.25">
      <c r="A69" s="145" t="s">
        <v>471</v>
      </c>
      <c r="B69" s="146" t="s">
        <v>273</v>
      </c>
      <c r="C69" s="146" t="s">
        <v>273</v>
      </c>
      <c r="D69" s="146" t="s">
        <v>273</v>
      </c>
      <c r="E69" s="146" t="s">
        <v>273</v>
      </c>
      <c r="F69" s="146" t="s">
        <v>273</v>
      </c>
      <c r="G69" s="146" t="s">
        <v>273</v>
      </c>
      <c r="H69" s="146" t="s">
        <v>273</v>
      </c>
      <c r="I69" s="146"/>
      <c r="J69" s="146"/>
      <c r="K69" s="146"/>
      <c r="L69" s="146"/>
      <c r="M69" s="146"/>
      <c r="N69" s="146"/>
      <c r="O69" s="146"/>
      <c r="P69" s="146"/>
      <c r="Q69" s="146"/>
      <c r="R69" s="146"/>
      <c r="S69" s="146"/>
      <c r="T69" s="146"/>
      <c r="U69" s="146"/>
      <c r="V69" s="146"/>
      <c r="W69" s="146"/>
      <c r="X69" s="146"/>
      <c r="Y69" s="146"/>
      <c r="Z69" s="146"/>
      <c r="AA69" s="146"/>
      <c r="AB69" s="146"/>
      <c r="AC69" s="146"/>
      <c r="AD69" s="159"/>
    </row>
    <row r="70" spans="1:30" x14ac:dyDescent="0.25">
      <c r="A70" s="145" t="s">
        <v>470</v>
      </c>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59"/>
    </row>
    <row r="71" spans="1:30" x14ac:dyDescent="0.25">
      <c r="A71" s="145" t="s">
        <v>472</v>
      </c>
      <c r="B71" s="146" t="s">
        <v>830</v>
      </c>
      <c r="C71" s="146" t="s">
        <v>831</v>
      </c>
      <c r="D71" s="146" t="s">
        <v>832</v>
      </c>
      <c r="E71" s="146" t="s">
        <v>833</v>
      </c>
      <c r="F71" s="146" t="s">
        <v>834</v>
      </c>
      <c r="G71" s="146" t="s">
        <v>835</v>
      </c>
      <c r="H71" s="146" t="s">
        <v>836</v>
      </c>
      <c r="I71" s="146"/>
      <c r="J71" s="146"/>
      <c r="K71" s="146"/>
      <c r="L71" s="146"/>
      <c r="M71" s="146"/>
      <c r="N71" s="146"/>
      <c r="O71" s="146"/>
      <c r="P71" s="146"/>
      <c r="Q71" s="146"/>
      <c r="R71" s="146"/>
      <c r="S71" s="146"/>
      <c r="T71" s="146"/>
      <c r="U71" s="146"/>
      <c r="V71" s="146"/>
      <c r="W71" s="146"/>
      <c r="X71" s="146"/>
      <c r="Y71" s="146"/>
      <c r="Z71" s="146"/>
      <c r="AA71" s="146"/>
      <c r="AB71" s="146"/>
      <c r="AC71" s="146"/>
      <c r="AD71" s="159"/>
    </row>
    <row r="72" spans="1:30" x14ac:dyDescent="0.25">
      <c r="A72" s="145" t="s">
        <v>473</v>
      </c>
      <c r="B72" s="146" t="str">
        <f t="shared" ref="B72:H72" si="19">CONCATENATE(B68,MsgMandat)</f>
        <v>PIN of Employee is Mandatory field.</v>
      </c>
      <c r="C72" s="146" t="str">
        <f t="shared" si="19"/>
        <v>Name of Employee is Mandatory field.</v>
      </c>
      <c r="D72" s="146" t="str">
        <f t="shared" si="19"/>
        <v>Gratuity Paid Month is Mandatory field.</v>
      </c>
      <c r="E72" s="146" t="str">
        <f t="shared" si="19"/>
        <v>Gratuity Paid Year  is Mandatory field.</v>
      </c>
      <c r="F72" s="146" t="str">
        <f t="shared" si="19"/>
        <v>Gratuity Related/ Retirement Year  is Mandatory field.</v>
      </c>
      <c r="G72" s="146" t="str">
        <f t="shared" si="19"/>
        <v>Gratuity Period in Years is Mandatory field.</v>
      </c>
      <c r="H72" s="146" t="str">
        <f t="shared" si="19"/>
        <v>Gratuity Value (Ksh) is Mandatory field.</v>
      </c>
      <c r="I72" s="146"/>
      <c r="J72" s="146"/>
      <c r="K72" s="146"/>
      <c r="L72" s="146"/>
      <c r="M72" s="146"/>
      <c r="N72" s="146"/>
      <c r="O72" s="146"/>
      <c r="P72" s="146"/>
      <c r="Q72" s="146"/>
      <c r="R72" s="146"/>
      <c r="S72" s="146"/>
      <c r="T72" s="146"/>
      <c r="U72" s="146"/>
      <c r="V72" s="146"/>
      <c r="W72" s="146"/>
      <c r="X72" s="146"/>
      <c r="Y72" s="146"/>
      <c r="Z72" s="146"/>
      <c r="AA72" s="146"/>
      <c r="AB72" s="146"/>
      <c r="AC72" s="146"/>
      <c r="AD72" s="159"/>
    </row>
    <row r="73" spans="1:30" x14ac:dyDescent="0.25">
      <c r="A73" s="145" t="s">
        <v>474</v>
      </c>
      <c r="B73" s="146" t="s">
        <v>837</v>
      </c>
      <c r="C73" s="146" t="s">
        <v>838</v>
      </c>
      <c r="D73" s="146" t="s">
        <v>839</v>
      </c>
      <c r="E73" s="146" t="s">
        <v>840</v>
      </c>
      <c r="F73" s="146" t="s">
        <v>841</v>
      </c>
      <c r="G73" s="146"/>
      <c r="H73" s="146" t="s">
        <v>842</v>
      </c>
      <c r="I73" s="146"/>
      <c r="J73" s="146"/>
      <c r="K73" s="146"/>
      <c r="L73" s="146"/>
      <c r="M73" s="146"/>
      <c r="N73" s="146"/>
      <c r="O73" s="146"/>
      <c r="P73" s="146"/>
      <c r="Q73" s="146"/>
      <c r="R73" s="146"/>
      <c r="S73" s="146"/>
      <c r="T73" s="146"/>
      <c r="U73" s="146"/>
      <c r="V73" s="146"/>
      <c r="W73" s="146"/>
      <c r="X73" s="146"/>
      <c r="Y73" s="146"/>
      <c r="Z73" s="146"/>
      <c r="AA73" s="146"/>
      <c r="AB73" s="146"/>
      <c r="AC73" s="146"/>
      <c r="AD73" s="159"/>
    </row>
    <row r="74" spans="1:30" x14ac:dyDescent="0.25">
      <c r="A74" s="147" t="s">
        <v>473</v>
      </c>
      <c r="B74" s="162" t="s">
        <v>1097</v>
      </c>
      <c r="C74" s="162" t="str">
        <f>MsgAlpNumSpl</f>
        <v>Please enter alphanumeric value. Only Special characters like (space , . / - :) are allowed.</v>
      </c>
      <c r="D74" s="162" t="str">
        <f>CONCATENATE(D68,MsgRtnMonth)</f>
        <v>Gratuity Paid Month should be same as Return for the Month in Section A.</v>
      </c>
      <c r="E74" s="162" t="str">
        <f>CONCATENATE(E68,MsgYearVal2)</f>
        <v>Gratuity Paid Year  should be same as Year of Income in Section A.</v>
      </c>
      <c r="F74" s="162" t="str">
        <f>CONCATENATE(F68,MsgYearVal1)</f>
        <v>Gratuity Related/ Retirement Year  should be before or same as Year of Income in Section A.</v>
      </c>
      <c r="G74" s="162"/>
      <c r="H74" s="162" t="str">
        <f>MsgNum</f>
        <v>Please enter numeric value only.</v>
      </c>
      <c r="I74" s="162"/>
      <c r="J74" s="162"/>
      <c r="K74" s="162"/>
      <c r="L74" s="162"/>
      <c r="M74" s="162"/>
      <c r="N74" s="162"/>
      <c r="O74" s="162"/>
      <c r="P74" s="162"/>
      <c r="Q74" s="162"/>
      <c r="R74" s="162"/>
      <c r="S74" s="162"/>
      <c r="T74" s="162"/>
      <c r="U74" s="162"/>
      <c r="V74" s="162"/>
      <c r="W74" s="162"/>
      <c r="X74" s="162"/>
      <c r="Y74" s="162"/>
      <c r="Z74" s="162"/>
      <c r="AA74" s="162"/>
      <c r="AB74" s="162"/>
      <c r="AC74" s="162"/>
      <c r="AD74" s="160"/>
    </row>
    <row r="76" spans="1:30" x14ac:dyDescent="0.25">
      <c r="A76" s="179" t="s">
        <v>824</v>
      </c>
      <c r="B76" s="161" t="s">
        <v>1138</v>
      </c>
      <c r="C76" s="161" t="s">
        <v>1139</v>
      </c>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58" t="s">
        <v>843</v>
      </c>
    </row>
    <row r="77" spans="1:30" x14ac:dyDescent="0.25">
      <c r="A77" s="145" t="s">
        <v>471</v>
      </c>
      <c r="B77" s="146" t="s">
        <v>273</v>
      </c>
      <c r="C77" s="146" t="s">
        <v>273</v>
      </c>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59"/>
    </row>
    <row r="78" spans="1:30" x14ac:dyDescent="0.25">
      <c r="A78" s="145" t="s">
        <v>470</v>
      </c>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59"/>
    </row>
    <row r="79" spans="1:30" x14ac:dyDescent="0.25">
      <c r="A79" s="145" t="s">
        <v>472</v>
      </c>
      <c r="B79" s="146" t="s">
        <v>844</v>
      </c>
      <c r="C79" s="146" t="s">
        <v>845</v>
      </c>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59"/>
    </row>
    <row r="80" spans="1:30" x14ac:dyDescent="0.25">
      <c r="A80" s="147" t="s">
        <v>473</v>
      </c>
      <c r="B80" s="162" t="str">
        <f>CONCATENATE(B76,MsgMandat)</f>
        <v>Taxable Amounts is Mandatory field.</v>
      </c>
      <c r="C80" s="162" t="str">
        <f>CONCATENATE(C76,MsgMandat)</f>
        <v>Tax Deducted plus Reliefs is Mandatory field.</v>
      </c>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0"/>
    </row>
    <row r="82" spans="1:30" x14ac:dyDescent="0.25">
      <c r="A82" s="179" t="s">
        <v>494</v>
      </c>
      <c r="B82" s="180" t="s">
        <v>846</v>
      </c>
      <c r="C82" s="180" t="s">
        <v>847</v>
      </c>
      <c r="D82" s="180" t="s">
        <v>848</v>
      </c>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58" t="s">
        <v>504</v>
      </c>
    </row>
    <row r="83" spans="1:30" x14ac:dyDescent="0.25">
      <c r="A83" s="145" t="s">
        <v>471</v>
      </c>
      <c r="B83" s="146" t="s">
        <v>273</v>
      </c>
      <c r="C83" s="146" t="s">
        <v>273</v>
      </c>
      <c r="D83" s="146" t="s">
        <v>273</v>
      </c>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59"/>
    </row>
    <row r="84" spans="1:30" x14ac:dyDescent="0.25">
      <c r="A84" s="145" t="s">
        <v>470</v>
      </c>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59"/>
    </row>
    <row r="85" spans="1:30" x14ac:dyDescent="0.25">
      <c r="A85" s="145" t="s">
        <v>472</v>
      </c>
      <c r="B85" s="146" t="s">
        <v>849</v>
      </c>
      <c r="C85" s="146" t="s">
        <v>850</v>
      </c>
      <c r="D85" s="146" t="s">
        <v>851</v>
      </c>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59"/>
    </row>
    <row r="86" spans="1:30" x14ac:dyDescent="0.25">
      <c r="A86" s="145" t="s">
        <v>473</v>
      </c>
      <c r="B86" s="146" t="str">
        <f>CONCATENATE(B82,MsgMandat)</f>
        <v>Payment Registration Number is Mandatory field.</v>
      </c>
      <c r="C86" s="146" t="str">
        <f>CONCATENATE(C82,MsgMandat)</f>
        <v>Date of Deposit is Mandatory field.</v>
      </c>
      <c r="D86" s="146" t="str">
        <f>CONCATENATE(D82,MsgMandat)</f>
        <v>Amount of PAYE Tax Paid is Mandatory field.</v>
      </c>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59"/>
    </row>
    <row r="87" spans="1:30" x14ac:dyDescent="0.25">
      <c r="A87" s="145" t="s">
        <v>474</v>
      </c>
      <c r="B87" s="146" t="s">
        <v>852</v>
      </c>
      <c r="C87" s="146"/>
      <c r="D87" s="146" t="s">
        <v>853</v>
      </c>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59"/>
    </row>
    <row r="88" spans="1:30" x14ac:dyDescent="0.25">
      <c r="A88" s="145" t="s">
        <v>473</v>
      </c>
      <c r="B88" s="146" t="s">
        <v>854</v>
      </c>
      <c r="C88" s="146" t="str">
        <f>CONCATENATE(C82,MsgDateFrmt)</f>
        <v>Date of Deposit in proper format(dd/mm/yyyy).</v>
      </c>
      <c r="D88" s="146" t="str">
        <f>msgPositvNum</f>
        <v>Please enter numeric value greater than zero.</v>
      </c>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59"/>
    </row>
    <row r="89" spans="1:30" ht="14.25" customHeight="1" x14ac:dyDescent="0.25">
      <c r="A89" s="145" t="s">
        <v>855</v>
      </c>
      <c r="B89" s="146" t="s">
        <v>856</v>
      </c>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59"/>
    </row>
    <row r="90" spans="1:30" x14ac:dyDescent="0.25">
      <c r="A90" s="147" t="s">
        <v>473</v>
      </c>
      <c r="B90" s="162" t="s">
        <v>857</v>
      </c>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0"/>
    </row>
    <row r="92" spans="1:30" x14ac:dyDescent="0.25">
      <c r="A92" s="179" t="s">
        <v>494</v>
      </c>
      <c r="B92" s="180" t="s">
        <v>846</v>
      </c>
      <c r="C92" s="180" t="s">
        <v>847</v>
      </c>
      <c r="D92" s="180" t="s">
        <v>848</v>
      </c>
      <c r="E92" s="161"/>
      <c r="F92" s="161"/>
      <c r="G92" s="161"/>
      <c r="H92" s="161"/>
      <c r="I92" s="161"/>
      <c r="J92" s="161"/>
      <c r="K92" s="161"/>
      <c r="L92" s="161"/>
      <c r="M92" s="161"/>
      <c r="N92" s="161"/>
      <c r="O92" s="161"/>
      <c r="P92" s="161"/>
      <c r="Q92" s="161"/>
      <c r="R92" s="161"/>
      <c r="S92" s="161"/>
      <c r="T92" s="161"/>
      <c r="U92" s="161"/>
      <c r="V92" s="161"/>
      <c r="W92" s="161"/>
      <c r="X92" s="161"/>
      <c r="Y92" s="161"/>
      <c r="Z92" s="161"/>
      <c r="AA92" s="161"/>
      <c r="AB92" s="161"/>
      <c r="AC92" s="161"/>
      <c r="AD92" s="158" t="s">
        <v>501</v>
      </c>
    </row>
    <row r="93" spans="1:30" x14ac:dyDescent="0.25">
      <c r="A93" s="145" t="s">
        <v>471</v>
      </c>
      <c r="B93" s="146" t="s">
        <v>273</v>
      </c>
      <c r="C93" s="146" t="s">
        <v>273</v>
      </c>
      <c r="D93" s="146" t="s">
        <v>273</v>
      </c>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59"/>
    </row>
    <row r="94" spans="1:30" x14ac:dyDescent="0.25">
      <c r="A94" s="145" t="s">
        <v>470</v>
      </c>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59"/>
    </row>
    <row r="95" spans="1:30" x14ac:dyDescent="0.25">
      <c r="A95" s="145" t="s">
        <v>472</v>
      </c>
      <c r="B95" s="146" t="s">
        <v>858</v>
      </c>
      <c r="C95" s="146" t="s">
        <v>859</v>
      </c>
      <c r="D95" s="146" t="s">
        <v>860</v>
      </c>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59"/>
    </row>
    <row r="96" spans="1:30" x14ac:dyDescent="0.25">
      <c r="A96" s="145" t="s">
        <v>473</v>
      </c>
      <c r="B96" s="146" t="str">
        <f>CONCATENATE(B92,MsgMandat)</f>
        <v>Payment Registration Number is Mandatory field.</v>
      </c>
      <c r="C96" s="146" t="str">
        <f>CONCATENATE(C92,MsgMandat)</f>
        <v>Date of Deposit is Mandatory field.</v>
      </c>
      <c r="D96" s="146" t="str">
        <f>CONCATENATE(D92,MsgMandat)</f>
        <v>Amount of PAYE Tax Paid is Mandatory field.</v>
      </c>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59"/>
    </row>
    <row r="97" spans="1:30" x14ac:dyDescent="0.25">
      <c r="A97" s="145" t="s">
        <v>474</v>
      </c>
      <c r="B97" s="146" t="s">
        <v>861</v>
      </c>
      <c r="C97" s="146"/>
      <c r="D97" s="146" t="s">
        <v>862</v>
      </c>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59"/>
    </row>
    <row r="98" spans="1:30" x14ac:dyDescent="0.25">
      <c r="A98" s="145" t="s">
        <v>473</v>
      </c>
      <c r="B98" s="146" t="s">
        <v>854</v>
      </c>
      <c r="C98" s="146" t="str">
        <f>CONCATENATE(C92,MsgDateFrmt)</f>
        <v>Date of Deposit in proper format(dd/mm/yyyy).</v>
      </c>
      <c r="D98" s="146" t="str">
        <f>msgPositvNum</f>
        <v>Please enter numeric value greater than zero.</v>
      </c>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59"/>
    </row>
    <row r="99" spans="1:30" x14ac:dyDescent="0.25">
      <c r="A99" s="145" t="s">
        <v>855</v>
      </c>
      <c r="B99" s="146" t="s">
        <v>863</v>
      </c>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59"/>
    </row>
    <row r="100" spans="1:30" x14ac:dyDescent="0.25">
      <c r="A100" s="147" t="s">
        <v>473</v>
      </c>
      <c r="B100" s="162" t="s">
        <v>857</v>
      </c>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0"/>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5"/>
  <sheetViews>
    <sheetView tabSelected="1" workbookViewId="0">
      <selection activeCell="D18" sqref="D18"/>
    </sheetView>
  </sheetViews>
  <sheetFormatPr defaultColWidth="0" defaultRowHeight="15" customHeight="1" zeroHeight="1" x14ac:dyDescent="0.25"/>
  <cols>
    <col min="1" max="1" width="9.140625" style="202" customWidth="1"/>
    <col min="2" max="2" width="24.7109375" customWidth="1"/>
    <col min="3" max="3" width="8.85546875" customWidth="1"/>
    <col min="4" max="4" width="114.7109375" customWidth="1"/>
    <col min="5" max="8" width="9.140625" style="202" customWidth="1"/>
  </cols>
  <sheetData>
    <row r="1" spans="1:8" ht="13.5" customHeight="1" x14ac:dyDescent="0.25">
      <c r="A1" s="219"/>
      <c r="B1" s="220" t="s">
        <v>1134</v>
      </c>
      <c r="C1" s="221"/>
      <c r="D1" s="221"/>
      <c r="E1" s="219"/>
      <c r="F1" s="219"/>
      <c r="G1" s="219"/>
      <c r="H1" s="219"/>
    </row>
    <row r="2" spans="1:8" ht="14.25" customHeight="1" x14ac:dyDescent="0.25">
      <c r="A2" s="219"/>
      <c r="B2" s="221"/>
      <c r="C2" s="221"/>
      <c r="D2" s="221"/>
      <c r="E2" s="219"/>
      <c r="F2" s="219"/>
      <c r="G2" s="219"/>
      <c r="H2" s="219"/>
    </row>
    <row r="3" spans="1:8" s="203" customFormat="1" ht="12" customHeight="1" x14ac:dyDescent="0.25">
      <c r="A3" s="219"/>
      <c r="B3" s="221"/>
      <c r="C3" s="221"/>
      <c r="D3" s="221"/>
      <c r="E3" s="219"/>
      <c r="F3" s="219"/>
      <c r="G3" s="219"/>
      <c r="H3" s="219"/>
    </row>
    <row r="4" spans="1:8" s="203" customFormat="1" ht="16.5" x14ac:dyDescent="0.25">
      <c r="A4" s="219"/>
      <c r="B4" s="222" t="s">
        <v>1135</v>
      </c>
      <c r="C4" s="222"/>
      <c r="D4" s="222"/>
      <c r="E4" s="219"/>
      <c r="F4" s="219"/>
      <c r="G4" s="219"/>
      <c r="H4" s="219"/>
    </row>
    <row r="5" spans="1:8" s="203" customFormat="1" ht="16.5" x14ac:dyDescent="0.3">
      <c r="A5" s="219"/>
      <c r="B5" s="204" t="s">
        <v>1</v>
      </c>
      <c r="C5" s="205"/>
      <c r="D5" s="206"/>
      <c r="E5" s="219"/>
      <c r="F5" s="219"/>
      <c r="G5" s="219"/>
      <c r="H5" s="219"/>
    </row>
    <row r="6" spans="1:8" s="203" customFormat="1" ht="16.5" x14ac:dyDescent="0.3">
      <c r="A6" s="219"/>
      <c r="B6" s="207"/>
      <c r="C6" s="208">
        <v>1</v>
      </c>
      <c r="D6" s="208" t="s">
        <v>3</v>
      </c>
      <c r="E6" s="219"/>
      <c r="F6" s="219"/>
      <c r="G6" s="219"/>
      <c r="H6" s="219"/>
    </row>
    <row r="7" spans="1:8" s="203" customFormat="1" ht="15.75" x14ac:dyDescent="0.25">
      <c r="A7" s="219"/>
      <c r="B7" s="207"/>
      <c r="C7" s="208">
        <v>2</v>
      </c>
      <c r="D7" s="208" t="s">
        <v>4</v>
      </c>
      <c r="E7" s="219"/>
      <c r="F7" s="219"/>
      <c r="G7" s="219"/>
      <c r="H7" s="219"/>
    </row>
    <row r="8" spans="1:8" s="203" customFormat="1" ht="15.75" x14ac:dyDescent="0.25">
      <c r="A8" s="219"/>
      <c r="B8" s="207"/>
      <c r="C8" s="208">
        <v>3</v>
      </c>
      <c r="D8" s="208" t="s">
        <v>5</v>
      </c>
      <c r="E8" s="219"/>
      <c r="F8" s="219"/>
      <c r="G8" s="219"/>
      <c r="H8" s="219"/>
    </row>
    <row r="9" spans="1:8" ht="15.75" x14ac:dyDescent="0.25">
      <c r="A9" s="219"/>
      <c r="B9" s="207"/>
      <c r="C9" s="208">
        <v>4</v>
      </c>
      <c r="D9" s="208" t="s">
        <v>6</v>
      </c>
      <c r="E9" s="219"/>
      <c r="F9" s="219"/>
      <c r="G9" s="219"/>
      <c r="H9" s="219"/>
    </row>
    <row r="10" spans="1:8" ht="5.25" customHeight="1" x14ac:dyDescent="0.25">
      <c r="A10" s="219"/>
      <c r="B10" s="207"/>
      <c r="C10" s="205"/>
      <c r="D10" s="206"/>
      <c r="E10" s="219"/>
      <c r="F10" s="219"/>
      <c r="G10" s="219"/>
      <c r="H10" s="219"/>
    </row>
    <row r="11" spans="1:8" ht="16.5" x14ac:dyDescent="0.3">
      <c r="A11" s="219"/>
      <c r="B11" s="204" t="s">
        <v>7</v>
      </c>
      <c r="C11" s="205"/>
      <c r="D11" s="206"/>
      <c r="E11" s="219"/>
      <c r="F11" s="219"/>
      <c r="G11" s="219"/>
      <c r="H11" s="219"/>
    </row>
    <row r="12" spans="1:8" ht="16.5" x14ac:dyDescent="0.3">
      <c r="A12" s="219"/>
      <c r="B12" s="207"/>
      <c r="C12" s="208">
        <v>1</v>
      </c>
      <c r="D12" s="208" t="s">
        <v>8</v>
      </c>
      <c r="E12" s="219"/>
      <c r="F12" s="219"/>
      <c r="G12" s="219"/>
      <c r="H12" s="219"/>
    </row>
    <row r="13" spans="1:8" ht="15.75" x14ac:dyDescent="0.25">
      <c r="A13" s="219"/>
      <c r="B13" s="207"/>
      <c r="C13" s="208">
        <v>2</v>
      </c>
      <c r="D13" s="208" t="s">
        <v>4</v>
      </c>
      <c r="E13" s="219"/>
      <c r="F13" s="219"/>
      <c r="G13" s="219"/>
      <c r="H13" s="219"/>
    </row>
    <row r="14" spans="1:8" ht="15.75" x14ac:dyDescent="0.25">
      <c r="A14" s="219"/>
      <c r="B14" s="207"/>
      <c r="C14" s="208">
        <v>3</v>
      </c>
      <c r="D14" s="208" t="s">
        <v>5</v>
      </c>
      <c r="E14" s="219"/>
      <c r="F14" s="219"/>
      <c r="G14" s="219"/>
      <c r="H14" s="219"/>
    </row>
    <row r="15" spans="1:8" ht="15.75" x14ac:dyDescent="0.25">
      <c r="A15" s="219"/>
      <c r="B15" s="207"/>
      <c r="C15" s="208">
        <v>4</v>
      </c>
      <c r="D15" s="208" t="s">
        <v>6</v>
      </c>
      <c r="E15" s="219"/>
      <c r="F15" s="219"/>
      <c r="G15" s="219"/>
      <c r="H15" s="219"/>
    </row>
    <row r="16" spans="1:8" ht="5.25" customHeight="1" x14ac:dyDescent="0.25">
      <c r="A16" s="219"/>
      <c r="B16" s="207"/>
      <c r="C16" s="205"/>
      <c r="D16" s="206"/>
      <c r="E16" s="219"/>
      <c r="F16" s="219"/>
      <c r="G16" s="219"/>
      <c r="H16" s="219"/>
    </row>
    <row r="17" spans="1:8" ht="16.5" x14ac:dyDescent="0.3">
      <c r="A17" s="219"/>
      <c r="B17" s="204" t="s">
        <v>9</v>
      </c>
      <c r="C17" s="205"/>
      <c r="D17" s="206"/>
      <c r="E17" s="219"/>
      <c r="F17" s="219"/>
      <c r="G17" s="219"/>
      <c r="H17" s="219"/>
    </row>
    <row r="18" spans="1:8" ht="33" x14ac:dyDescent="0.3">
      <c r="A18" s="219"/>
      <c r="B18" s="207"/>
      <c r="C18" s="208">
        <v>1</v>
      </c>
      <c r="D18" s="6" t="s">
        <v>10</v>
      </c>
      <c r="E18" s="219"/>
      <c r="F18" s="219"/>
      <c r="G18" s="219"/>
      <c r="H18" s="219"/>
    </row>
    <row r="19" spans="1:8" ht="31.5" x14ac:dyDescent="0.25">
      <c r="A19" s="219"/>
      <c r="B19" s="207"/>
      <c r="C19" s="208">
        <v>2</v>
      </c>
      <c r="D19" s="6" t="s">
        <v>11</v>
      </c>
      <c r="E19" s="219"/>
      <c r="F19" s="219"/>
      <c r="G19" s="219"/>
      <c r="H19" s="219"/>
    </row>
    <row r="20" spans="1:8" ht="15.75" x14ac:dyDescent="0.25">
      <c r="A20" s="219"/>
      <c r="B20" s="207"/>
      <c r="C20" s="208">
        <v>3</v>
      </c>
      <c r="D20" s="6" t="s">
        <v>6</v>
      </c>
      <c r="E20" s="219"/>
      <c r="F20" s="219"/>
      <c r="G20" s="219"/>
      <c r="H20" s="219"/>
    </row>
    <row r="21" spans="1:8" ht="16.5" x14ac:dyDescent="0.3">
      <c r="A21" s="219"/>
      <c r="B21" s="209"/>
      <c r="C21" s="208">
        <v>4</v>
      </c>
      <c r="D21" s="6" t="s">
        <v>12</v>
      </c>
      <c r="E21" s="219"/>
      <c r="F21" s="219"/>
      <c r="G21" s="219"/>
      <c r="H21" s="219"/>
    </row>
    <row r="22" spans="1:8" x14ac:dyDescent="0.25">
      <c r="A22" s="219"/>
      <c r="B22" s="219"/>
      <c r="C22" s="219"/>
      <c r="D22" s="219"/>
      <c r="E22" s="219"/>
      <c r="F22" s="219"/>
      <c r="G22" s="219"/>
      <c r="H22" s="219"/>
    </row>
    <row r="23" spans="1:8" x14ac:dyDescent="0.25">
      <c r="A23" s="219"/>
      <c r="B23" s="219"/>
      <c r="C23" s="219"/>
      <c r="D23" s="219"/>
      <c r="E23" s="219"/>
      <c r="F23" s="219"/>
      <c r="G23" s="219"/>
    </row>
    <row r="24" spans="1:8" hidden="1" x14ac:dyDescent="0.25"/>
    <row r="25" spans="1:8" hidden="1" x14ac:dyDescent="0.25">
      <c r="B25" s="27"/>
    </row>
  </sheetData>
  <sheetProtection password="94AB"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B3" sqref="B3"/>
    </sheetView>
  </sheetViews>
  <sheetFormatPr defaultColWidth="0" defaultRowHeight="15" zeroHeight="1" x14ac:dyDescent="0.25"/>
  <cols>
    <col min="1" max="1" width="39.140625" style="33" customWidth="1"/>
    <col min="2" max="2" width="27.7109375" style="33" customWidth="1"/>
    <col min="3" max="3" width="16" style="33" customWidth="1"/>
    <col min="4" max="16384" width="0" style="33" hidden="1"/>
  </cols>
  <sheetData>
    <row r="1" spans="1:3" ht="48.75" customHeight="1" x14ac:dyDescent="0.25">
      <c r="B1" s="223" t="s">
        <v>864</v>
      </c>
      <c r="C1" s="223"/>
    </row>
    <row r="2" spans="1:3" ht="21" customHeight="1" x14ac:dyDescent="0.25">
      <c r="A2" s="224" t="s">
        <v>481</v>
      </c>
      <c r="B2" s="224"/>
      <c r="C2" s="34" t="s">
        <v>1141</v>
      </c>
    </row>
    <row r="3" spans="1:3" ht="31.5" x14ac:dyDescent="0.25">
      <c r="A3" s="35" t="s">
        <v>865</v>
      </c>
      <c r="B3" s="36"/>
      <c r="C3" s="123" t="s">
        <v>82</v>
      </c>
    </row>
    <row r="4" spans="1:3" ht="15.75" x14ac:dyDescent="0.25">
      <c r="A4" s="35" t="s">
        <v>866</v>
      </c>
      <c r="B4" s="36"/>
      <c r="C4" s="124" t="s">
        <v>119</v>
      </c>
    </row>
    <row r="5" spans="1:3" ht="15.75" x14ac:dyDescent="0.25">
      <c r="A5" s="35" t="s">
        <v>867</v>
      </c>
      <c r="B5" s="36"/>
      <c r="C5" s="124"/>
    </row>
    <row r="6" spans="1:3" ht="15.75" x14ac:dyDescent="0.25">
      <c r="A6" s="35" t="s">
        <v>868</v>
      </c>
      <c r="B6" s="38"/>
      <c r="C6" s="124" t="s">
        <v>1143</v>
      </c>
    </row>
    <row r="7" spans="1:3" ht="15.75" x14ac:dyDescent="0.25">
      <c r="A7" s="35" t="s">
        <v>869</v>
      </c>
      <c r="B7" s="38"/>
      <c r="C7" s="124" t="s">
        <v>1144</v>
      </c>
    </row>
    <row r="8" spans="1:3" ht="37.5" customHeight="1" x14ac:dyDescent="0.25">
      <c r="A8" s="123" t="str">
        <f>IF(B8&lt;&gt;"",CONCATENATE("01/01/",B8),"")</f>
        <v>01/01/2015</v>
      </c>
      <c r="B8" s="118">
        <v>2015</v>
      </c>
      <c r="C8" s="124" t="s">
        <v>1145</v>
      </c>
    </row>
    <row r="9" spans="1:3" ht="37.5" customHeight="1" x14ac:dyDescent="0.25">
      <c r="A9" s="123"/>
      <c r="B9" s="118" t="s">
        <v>120</v>
      </c>
      <c r="C9" s="124" t="s">
        <v>1146</v>
      </c>
    </row>
    <row r="10" spans="1:3" ht="15" customHeight="1" x14ac:dyDescent="0.25">
      <c r="A10" s="123" t="str">
        <f>RIGHT(C2,LEN(C2)-8)</f>
        <v>8.0.0</v>
      </c>
      <c r="B10" s="118" t="str">
        <f>obligationId</f>
        <v>7</v>
      </c>
      <c r="C10" s="124"/>
    </row>
    <row r="11" spans="1:3" ht="15" customHeight="1" x14ac:dyDescent="0.25">
      <c r="A11" s="123" t="str">
        <f>templateType</f>
        <v>XLS</v>
      </c>
      <c r="B11" s="118" t="str">
        <f>officeVersion</f>
        <v>EXCEL 1997-2003</v>
      </c>
      <c r="C11" s="124"/>
    </row>
    <row r="12" spans="1:3" ht="15" customHeight="1" x14ac:dyDescent="0.25">
      <c r="A12" s="123" t="str">
        <f>moduleId</f>
        <v>2</v>
      </c>
      <c r="B12" s="118" t="str">
        <f>formId</f>
        <v>47</v>
      </c>
      <c r="C12" s="124" t="s">
        <v>961</v>
      </c>
    </row>
  </sheetData>
  <sheetProtection password="94AB" sheet="1" objects="1" scenarios="1" selectLockedCells="1"/>
  <mergeCells count="2">
    <mergeCell ref="B1:C1"/>
    <mergeCell ref="A2:B2"/>
  </mergeCells>
  <dataValidations xWindow="710" yWindow="386" count="4">
    <dataValidation type="list" allowBlank="1" showInputMessage="1" showErrorMessage="1" errorTitle="Data Error:" error="Please select data from DropDown Only." promptTitle="List:" prompt="Select data from DropDown List." sqref="B4">
      <formula1>ReturnType</formula1>
      <formula2>0</formula2>
    </dataValidation>
    <dataValidation type="textLength" allowBlank="1" showInputMessage="1" showErrorMessage="1" errorTitle="Data Error:" error="Please enter Employer's Personal Identification Number in proper format.  " promptTitle="Alphanumeric:" prompt="Enter 11 digit alphanumeric values for PIN. " sqref="B3">
      <formula1>11</formula1>
      <formula2>11</formula2>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10"/>
  <sheetViews>
    <sheetView topLeftCell="R1" zoomScaleNormal="100" workbookViewId="0">
      <selection activeCell="R5" sqref="R5"/>
    </sheetView>
  </sheetViews>
  <sheetFormatPr defaultColWidth="0" defaultRowHeight="15" zeroHeight="1" x14ac:dyDescent="0.25"/>
  <cols>
    <col min="1" max="35" width="27.7109375" style="33" customWidth="1"/>
    <col min="36" max="38" width="5.140625" style="33" customWidth="1"/>
    <col min="39" max="39" width="5.7109375" style="33" customWidth="1"/>
    <col min="40" max="16384" width="0" style="33" hidden="1"/>
  </cols>
  <sheetData>
    <row r="1" spans="1:40" ht="33.75" customHeight="1" x14ac:dyDescent="0.25">
      <c r="A1" s="226" t="s">
        <v>523</v>
      </c>
      <c r="B1" s="226"/>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40"/>
      <c r="AJ1" s="41"/>
      <c r="AK1" s="39"/>
      <c r="AL1" s="39"/>
      <c r="AM1" s="39"/>
    </row>
    <row r="2" spans="1:40" ht="21" customHeight="1" x14ac:dyDescent="0.25">
      <c r="A2" s="227"/>
      <c r="B2" s="227"/>
      <c r="C2" s="227"/>
      <c r="D2" s="227"/>
      <c r="E2" s="227" t="s">
        <v>870</v>
      </c>
      <c r="F2" s="227"/>
      <c r="G2" s="227"/>
      <c r="H2" s="227"/>
      <c r="I2" s="227"/>
      <c r="J2" s="227"/>
      <c r="K2" s="227"/>
      <c r="L2" s="227"/>
      <c r="M2" s="227"/>
      <c r="N2" s="227" t="s">
        <v>871</v>
      </c>
      <c r="O2" s="227"/>
      <c r="P2" s="227"/>
      <c r="Q2" s="227"/>
      <c r="R2" s="227" t="s">
        <v>872</v>
      </c>
      <c r="S2" s="227"/>
      <c r="T2" s="227"/>
      <c r="U2" s="227"/>
      <c r="V2" s="227"/>
      <c r="W2" s="227"/>
      <c r="X2" s="227" t="s">
        <v>873</v>
      </c>
      <c r="Y2" s="227"/>
      <c r="Z2" s="227"/>
      <c r="AA2" s="227"/>
      <c r="AB2" s="227"/>
      <c r="AC2" s="227"/>
      <c r="AD2" s="227"/>
      <c r="AE2" s="227"/>
      <c r="AF2" s="227"/>
      <c r="AG2" s="227"/>
      <c r="AH2" s="227"/>
      <c r="AI2" s="227"/>
      <c r="AJ2" s="42"/>
      <c r="AK2" s="39"/>
      <c r="AL2" s="39"/>
      <c r="AM2" s="39"/>
    </row>
    <row r="3" spans="1:40" ht="21" customHeight="1" x14ac:dyDescent="0.25">
      <c r="A3" s="227"/>
      <c r="B3" s="227"/>
      <c r="C3" s="227"/>
      <c r="D3" s="227"/>
      <c r="E3" s="227"/>
      <c r="F3" s="227"/>
      <c r="G3" s="227"/>
      <c r="H3" s="227"/>
      <c r="I3" s="227"/>
      <c r="J3" s="227"/>
      <c r="K3" s="227"/>
      <c r="L3" s="227"/>
      <c r="M3" s="227"/>
      <c r="N3" s="227"/>
      <c r="O3" s="227"/>
      <c r="P3" s="227"/>
      <c r="Q3" s="227"/>
      <c r="R3" s="227"/>
      <c r="S3" s="227"/>
      <c r="T3" s="227"/>
      <c r="U3" s="227"/>
      <c r="V3" s="227"/>
      <c r="W3" s="227"/>
      <c r="X3" s="227" t="s">
        <v>874</v>
      </c>
      <c r="Y3" s="227"/>
      <c r="Z3" s="227"/>
      <c r="AA3" s="227"/>
      <c r="AB3" s="227"/>
      <c r="AC3" s="227"/>
      <c r="AD3" s="227"/>
      <c r="AE3" s="227"/>
      <c r="AF3" s="227"/>
      <c r="AG3" s="227"/>
      <c r="AH3" s="227"/>
      <c r="AI3" s="227"/>
      <c r="AJ3" s="42"/>
      <c r="AK3" s="39"/>
      <c r="AL3" s="39"/>
      <c r="AM3" s="39"/>
    </row>
    <row r="4" spans="1:40" ht="99" x14ac:dyDescent="0.25">
      <c r="A4" s="43" t="s">
        <v>407</v>
      </c>
      <c r="B4" s="43" t="s">
        <v>408</v>
      </c>
      <c r="C4" s="43" t="s">
        <v>510</v>
      </c>
      <c r="D4" s="43" t="s">
        <v>511</v>
      </c>
      <c r="E4" s="43" t="s">
        <v>445</v>
      </c>
      <c r="F4" s="43" t="s">
        <v>446</v>
      </c>
      <c r="G4" s="43" t="s">
        <v>447</v>
      </c>
      <c r="H4" s="43" t="s">
        <v>448</v>
      </c>
      <c r="I4" s="43" t="s">
        <v>449</v>
      </c>
      <c r="J4" s="43" t="s">
        <v>450</v>
      </c>
      <c r="K4" s="43" t="s">
        <v>451</v>
      </c>
      <c r="L4" s="43" t="s">
        <v>452</v>
      </c>
      <c r="M4" s="43" t="s">
        <v>875</v>
      </c>
      <c r="N4" s="43" t="s">
        <v>876</v>
      </c>
      <c r="O4" s="43" t="s">
        <v>877</v>
      </c>
      <c r="P4" s="43" t="s">
        <v>878</v>
      </c>
      <c r="Q4" s="43" t="s">
        <v>879</v>
      </c>
      <c r="R4" s="43" t="s">
        <v>514</v>
      </c>
      <c r="S4" s="43" t="s">
        <v>880</v>
      </c>
      <c r="T4" s="43" t="s">
        <v>881</v>
      </c>
      <c r="U4" s="43" t="s">
        <v>882</v>
      </c>
      <c r="V4" s="43" t="s">
        <v>883</v>
      </c>
      <c r="W4" s="43" t="s">
        <v>884</v>
      </c>
      <c r="X4" s="43" t="s">
        <v>885</v>
      </c>
      <c r="Y4" s="43" t="s">
        <v>886</v>
      </c>
      <c r="Z4" s="43" t="s">
        <v>887</v>
      </c>
      <c r="AA4" s="43" t="s">
        <v>888</v>
      </c>
      <c r="AB4" s="43" t="s">
        <v>889</v>
      </c>
      <c r="AC4" s="43" t="s">
        <v>890</v>
      </c>
      <c r="AD4" s="43" t="s">
        <v>891</v>
      </c>
      <c r="AE4" s="43" t="s">
        <v>892</v>
      </c>
      <c r="AF4" s="43" t="s">
        <v>893</v>
      </c>
      <c r="AG4" s="43" t="s">
        <v>894</v>
      </c>
      <c r="AH4" s="43" t="s">
        <v>895</v>
      </c>
      <c r="AI4" s="43" t="s">
        <v>896</v>
      </c>
      <c r="AJ4" s="39"/>
      <c r="AK4" s="39"/>
      <c r="AL4" s="39"/>
      <c r="AM4" s="39"/>
    </row>
    <row r="5" spans="1:40" s="193" customFormat="1" ht="16.5" x14ac:dyDescent="0.3">
      <c r="A5" s="44" t="s">
        <v>961</v>
      </c>
      <c r="B5" s="44"/>
      <c r="C5" s="45"/>
      <c r="D5" s="44"/>
      <c r="E5" s="46"/>
      <c r="F5" s="46"/>
      <c r="G5" s="46"/>
      <c r="H5" s="46"/>
      <c r="I5" s="46"/>
      <c r="J5" s="46"/>
      <c r="K5" s="46"/>
      <c r="L5" s="46"/>
      <c r="M5" s="47" t="str">
        <f>IF(A5="","",SUM(E5:L5))</f>
        <v/>
      </c>
      <c r="N5" s="46"/>
      <c r="O5" s="46"/>
      <c r="P5" s="47" t="str">
        <f>IF(A5="","",IF(O5&gt;3000,SUM(N5:O5),N5))</f>
        <v/>
      </c>
      <c r="Q5" s="117"/>
      <c r="R5" s="45"/>
      <c r="S5" s="117"/>
      <c r="T5" s="47" t="str">
        <f>IF(A5="","",IF(AK5="",0,IF(AK5="0",0,IF(AK5="3",10*(SUM(M5,P5))/100,IF(AK5="4",IF(Q5="",0,15*Q5/100),IF((15*(SUM(M5,P5))/100)&gt;S5,(15*(SUM(M5,P5))/100),S5))))))</f>
        <v/>
      </c>
      <c r="U5" s="117"/>
      <c r="V5" s="47" t="str">
        <f>IF(A5="","",IF(ROUND(T5,2)-ROUND(U5,2)&lt;0,0,ROUND(T5,2)-ROUND(U5,2)))</f>
        <v/>
      </c>
      <c r="W5" s="47" t="str">
        <f>IF(A5="","",SUM(M5,P5,Q5,V5))</f>
        <v/>
      </c>
      <c r="X5" s="47" t="str">
        <f>IF(M5="","",IF(AND(C5="Resident",D5="Primary Employee"),30*M5/100,"0.00"))</f>
        <v/>
      </c>
      <c r="Y5" s="117"/>
      <c r="Z5" s="47" t="str">
        <f>IF(A5="","",IF(AND(C5="Resident",D5="Primary Employee"),20000,"0.00"))</f>
        <v/>
      </c>
      <c r="AA5" s="117"/>
      <c r="AB5" s="117"/>
      <c r="AC5" s="47" t="str">
        <f>IF(A5="","",IF(Y5&lt;&gt;"",IF(X5&lt;Y5,IF(X5&lt;Z5,X5,Z5),IF(Y5&lt;Z5,Y5,Z5)),IF(X5&lt;Z5,X5,Z5))+(IF(AA5&gt;AB5,AA5,AB5)))</f>
        <v/>
      </c>
      <c r="AD5" s="47" t="str">
        <f>IF(A5="","",ROUND(W5,2)-ROUND(AC5,2))</f>
        <v/>
      </c>
      <c r="AE5" s="47" t="str">
        <f>IF(AD5="","",getTotalTaxPayble(AD5,D5))</f>
        <v/>
      </c>
      <c r="AF5" s="117"/>
      <c r="AG5" s="117"/>
      <c r="AH5" s="47" t="str">
        <f>IF(A5="","",IF(AG5="", IF(AE5-AF5&lt;0, 0, AE5-AF5), IF(AE5-AF5-AG5&lt;0,0,AE5-AF5-AG5)))</f>
        <v/>
      </c>
      <c r="AI5" s="191"/>
      <c r="AJ5" s="39" t="str">
        <f>IFERROR(LOOKUP(D5,TypeOFEmp,TypeOFEmpCode),"")</f>
        <v/>
      </c>
      <c r="AK5" s="39" t="str">
        <f>IFERROR(LOOKUP(R5,SortedTypeOfHousing,TypeOfHousingCode),"")</f>
        <v/>
      </c>
      <c r="AL5" s="39" t="str">
        <f>IFERROR(LOOKUP(C5,SortedResidentStatus,ResidentStatusCode),"")</f>
        <v/>
      </c>
      <c r="AM5" s="39" t="str">
        <f>IF(A5="","","DTEMP")</f>
        <v/>
      </c>
      <c r="AN5" s="192"/>
    </row>
    <row r="6" spans="1:40" s="193" customFormat="1" ht="16.5" x14ac:dyDescent="0.3">
      <c r="A6" s="44" t="s">
        <v>961</v>
      </c>
      <c r="B6" s="44"/>
      <c r="C6" s="45"/>
      <c r="D6" s="44"/>
      <c r="E6" s="46"/>
      <c r="F6" s="46"/>
      <c r="G6" s="46"/>
      <c r="H6" s="46"/>
      <c r="I6" s="46"/>
      <c r="J6" s="46"/>
      <c r="K6" s="46"/>
      <c r="L6" s="46"/>
      <c r="M6" s="47" t="str">
        <f>IF(A6="","",SUM(E6:L6))</f>
        <v/>
      </c>
      <c r="N6" s="46"/>
      <c r="O6" s="46"/>
      <c r="P6" s="47" t="str">
        <f>IF(A6="","",IF(O6&gt;3000,SUM(N6:O6),N6))</f>
        <v/>
      </c>
      <c r="Q6" s="117"/>
      <c r="R6" s="45"/>
      <c r="S6" s="117"/>
      <c r="T6" s="47" t="str">
        <f>IF(A6="","",IF(AK6="",0,IF(AK6="0",0,IF(AK6="3",10*(SUM(M6,P6))/100,IF(AK6="4",IF(Q6="",0,15*Q6/100),IF((15*(SUM(M6,P6))/100)&gt;S6,(15*(SUM(M6,P6))/100),S6))))))</f>
        <v/>
      </c>
      <c r="U6" s="117"/>
      <c r="V6" s="47" t="str">
        <f>IF(A6="","",IF(ROUND(T6,2)-ROUND(U6,2)&lt;0,0,ROUND(T6,2)-ROUND(U6,2)))</f>
        <v/>
      </c>
      <c r="W6" s="47" t="str">
        <f>IF(A6="","",SUM(M6,P6,Q6,V6))</f>
        <v/>
      </c>
      <c r="X6" s="47" t="str">
        <f>IF(M6="","",IF(AND(C6="Resident",D6="Primary Employee"),30*M6/100,"0.00"))</f>
        <v/>
      </c>
      <c r="Y6" s="117"/>
      <c r="Z6" s="47" t="str">
        <f>IF(A6="","",IF(AND(C6="Resident",D6="Primary Employee"),20000,"0.00"))</f>
        <v/>
      </c>
      <c r="AA6" s="117"/>
      <c r="AB6" s="117"/>
      <c r="AC6" s="47" t="str">
        <f>IF(A6="","",IF(Y6&lt;&gt;"",IF(X6&lt;Y6,IF(X6&lt;Z6,X6,Z6),IF(Y6&lt;Z6,Y6,Z6)),IF(X6&lt;Z6,X6,Z6))+(IF(AA6&gt;AB6,AA6,AB6)))</f>
        <v/>
      </c>
      <c r="AD6" s="47" t="str">
        <f>IF(A6="","",ROUND(W6,2)-ROUND(AC6,2))</f>
        <v/>
      </c>
      <c r="AE6" s="47" t="str">
        <f>IF(AD6="","",getTotalTaxPayble(AD6,D6))</f>
        <v/>
      </c>
      <c r="AF6" s="117"/>
      <c r="AG6" s="117"/>
      <c r="AH6" s="47" t="str">
        <f>IF(A6="","",IF(AG6="", IF(AE6-AF6&lt;0, 0, AE6-AF6), IF(AE6-AF6-AG6&lt;0,0,AE6-AF6-AG6)))</f>
        <v/>
      </c>
      <c r="AI6" s="191"/>
      <c r="AJ6" s="39" t="str">
        <f>IFERROR(LOOKUP(D6,TypeOFEmp,TypeOFEmpCode),"")</f>
        <v/>
      </c>
      <c r="AK6" s="39" t="str">
        <f>IFERROR(LOOKUP(R6,SortedTypeOfHousing,TypeOfHousingCode),"")</f>
        <v/>
      </c>
      <c r="AL6" s="39" t="str">
        <f>IFERROR(LOOKUP(C6,SortedResidentStatus,ResidentStatusCode),"")</f>
        <v/>
      </c>
      <c r="AM6" s="39" t="str">
        <f>IF(A6="","","DTEMP")</f>
        <v/>
      </c>
      <c r="AN6" s="192"/>
    </row>
    <row r="7" spans="1:40" ht="16.5" hidden="1" customHeight="1" x14ac:dyDescent="0.3">
      <c r="A7" s="228"/>
      <c r="B7" s="228"/>
      <c r="C7" s="228"/>
      <c r="D7" s="228"/>
      <c r="E7" s="228"/>
      <c r="F7" s="228"/>
      <c r="G7" s="228"/>
      <c r="H7" s="228"/>
      <c r="I7" s="228"/>
      <c r="J7" s="228"/>
      <c r="K7" s="228"/>
      <c r="L7" s="228"/>
      <c r="M7" s="228"/>
      <c r="N7" s="228"/>
      <c r="O7" s="228"/>
      <c r="P7" s="228"/>
      <c r="Q7" s="228"/>
      <c r="R7" s="228"/>
      <c r="S7" s="228"/>
      <c r="T7" s="228"/>
      <c r="U7" s="228"/>
      <c r="V7" s="228"/>
      <c r="W7" s="228"/>
      <c r="X7" s="228"/>
      <c r="Y7" s="228"/>
      <c r="Z7" s="228"/>
      <c r="AA7" s="228"/>
      <c r="AB7" s="228"/>
      <c r="AC7" s="228"/>
      <c r="AD7" s="228"/>
      <c r="AE7" s="228"/>
      <c r="AF7" s="228"/>
      <c r="AG7" s="228"/>
      <c r="AH7" s="50">
        <f ca="1">SUM(AH5:OFFSET(DtlsSalPdBftsPayeDedFrmEmpListTO,-1,0))</f>
        <v>0</v>
      </c>
      <c r="AI7" s="51">
        <f ca="1">SUM(AI5:OFFSET(DtlsSalPdBftsSelfPayTaxListTO,-1,0))</f>
        <v>0</v>
      </c>
      <c r="AJ7" s="39"/>
      <c r="AK7" s="39"/>
      <c r="AL7" s="39"/>
      <c r="AM7" s="39"/>
      <c r="AN7" s="49"/>
    </row>
    <row r="8" spans="1:40" ht="16.5" customHeight="1" x14ac:dyDescent="0.3">
      <c r="A8" s="225" t="s">
        <v>897</v>
      </c>
      <c r="B8" s="225"/>
      <c r="C8" s="225"/>
      <c r="D8" s="225"/>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c r="AE8" s="225"/>
      <c r="AF8" s="225"/>
      <c r="AG8" s="225"/>
      <c r="AH8" s="47">
        <f ca="1">SUM(AH5:OFFSET(DtlsSalPdBftsPayeDedFrmEmpListTO,-1,0))</f>
        <v>0</v>
      </c>
      <c r="AI8" s="47">
        <f ca="1">SUM(AI5:OFFSET(DtlsSalPdBftsSelfPayTaxListTO,-1,0))</f>
        <v>0</v>
      </c>
      <c r="AJ8" s="39"/>
      <c r="AK8" s="39"/>
      <c r="AL8" s="39"/>
      <c r="AM8" s="39"/>
      <c r="AN8" s="49"/>
    </row>
    <row r="9" spans="1:40"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52"/>
      <c r="AH9" s="39"/>
      <c r="AI9" s="39"/>
      <c r="AJ9" s="39"/>
      <c r="AK9" s="39"/>
      <c r="AL9" s="39"/>
      <c r="AM9" s="39"/>
    </row>
    <row r="10" spans="1:40" ht="3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row>
  </sheetData>
  <sheetProtection password="94AB" sheet="1" objects="1" scenarios="1" selectLockedCells="1"/>
  <mergeCells count="13">
    <mergeCell ref="A8:AG8"/>
    <mergeCell ref="A1:AH1"/>
    <mergeCell ref="A2:D3"/>
    <mergeCell ref="E2:M3"/>
    <mergeCell ref="N2:P3"/>
    <mergeCell ref="Q2:Q3"/>
    <mergeCell ref="R2:V3"/>
    <mergeCell ref="W2:W3"/>
    <mergeCell ref="X2:AC2"/>
    <mergeCell ref="AD2:AI3"/>
    <mergeCell ref="X3:Z3"/>
    <mergeCell ref="AA3:AC3"/>
    <mergeCell ref="A7:AG7"/>
  </mergeCells>
  <dataValidations xWindow="1137" yWindow="486" count="7">
    <dataValidation type="decimal" allowBlank="1" showInputMessage="1" showErrorMessage="1" errorTitle="Data Error : " error="Please enter positive numeric value of length less than or equal to 15 digit." promptTitle="Numeric :" prompt="Enter numeric value of length less than or equal to 15 digit." sqref="N5">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E5:L6 O5 Q5:Q6 S5:S6 U5:U6 Y5:Y6 AA5:AB6 AF5:AG6 AI5:AI6 N6:O6">
      <formula1>0</formula1>
      <formula2>999999999999999</formula2>
    </dataValidation>
    <dataValidation type="list" allowBlank="1" showInputMessage="1" showErrorMessage="1" errorTitle="Data Error:" error="Please select data from DropDown Only." promptTitle="List:" prompt="Select data from DropDown List." sqref="D5: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R5:R6">
      <formula1>TypeOfHousing</formula1>
      <formula2>0</formula2>
    </dataValidation>
    <dataValidation type="list" allowBlank="1" showInputMessage="1" showErrorMessage="1" errorTitle="Data Error:" error="Please select data from DropDown Only." promptTitle="List:" prompt="Select data from DropDown List. _x000a_" sqref="C5:C6">
      <formula1>ResidentStatus</formula1>
      <formula2>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
  <sheetViews>
    <sheetView workbookViewId="0">
      <selection activeCell="E5" sqref="E5"/>
    </sheetView>
  </sheetViews>
  <sheetFormatPr defaultColWidth="0" defaultRowHeight="15" zeroHeight="1" x14ac:dyDescent="0.25"/>
  <cols>
    <col min="1" max="37" width="27.7109375" customWidth="1"/>
    <col min="38" max="41" width="5" customWidth="1"/>
  </cols>
  <sheetData>
    <row r="1" spans="1:42" ht="33.75" customHeight="1" x14ac:dyDescent="0.25">
      <c r="A1" s="226" t="s">
        <v>568</v>
      </c>
      <c r="B1" s="226"/>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41"/>
      <c r="AM1" s="39"/>
      <c r="AN1" s="39"/>
      <c r="AO1" s="39"/>
    </row>
    <row r="2" spans="1:42" ht="21" customHeight="1" x14ac:dyDescent="0.25">
      <c r="A2" s="230"/>
      <c r="B2" s="230"/>
      <c r="C2" s="230"/>
      <c r="D2" s="230"/>
      <c r="E2" s="230"/>
      <c r="F2" s="230" t="s">
        <v>870</v>
      </c>
      <c r="G2" s="230"/>
      <c r="H2" s="230"/>
      <c r="I2" s="230"/>
      <c r="J2" s="230"/>
      <c r="K2" s="230"/>
      <c r="L2" s="230"/>
      <c r="M2" s="230"/>
      <c r="N2" s="230"/>
      <c r="O2" s="230" t="s">
        <v>871</v>
      </c>
      <c r="P2" s="230"/>
      <c r="Q2" s="230"/>
      <c r="R2" s="230"/>
      <c r="S2" s="230" t="s">
        <v>872</v>
      </c>
      <c r="T2" s="230"/>
      <c r="U2" s="230"/>
      <c r="V2" s="230"/>
      <c r="W2" s="230"/>
      <c r="X2" s="230"/>
      <c r="Y2" s="230" t="s">
        <v>898</v>
      </c>
      <c r="Z2" s="230"/>
      <c r="AA2" s="230"/>
      <c r="AB2" s="230"/>
      <c r="AC2" s="230"/>
      <c r="AD2" s="230"/>
      <c r="AE2" s="229"/>
      <c r="AF2" s="229"/>
      <c r="AG2" s="229"/>
      <c r="AH2" s="229"/>
      <c r="AI2" s="229"/>
      <c r="AJ2" s="229"/>
      <c r="AK2" s="229"/>
      <c r="AL2" s="41"/>
      <c r="AM2" s="39"/>
      <c r="AN2" s="39"/>
      <c r="AO2" s="39"/>
    </row>
    <row r="3" spans="1:42" ht="21" customHeight="1" x14ac:dyDescent="0.25">
      <c r="A3" s="230"/>
      <c r="B3" s="230"/>
      <c r="C3" s="230"/>
      <c r="D3" s="230"/>
      <c r="E3" s="230"/>
      <c r="F3" s="230"/>
      <c r="G3" s="230"/>
      <c r="H3" s="230"/>
      <c r="I3" s="230"/>
      <c r="J3" s="230"/>
      <c r="K3" s="230"/>
      <c r="L3" s="230"/>
      <c r="M3" s="230"/>
      <c r="N3" s="230"/>
      <c r="O3" s="230"/>
      <c r="P3" s="230"/>
      <c r="Q3" s="230"/>
      <c r="R3" s="230"/>
      <c r="S3" s="230"/>
      <c r="T3" s="230"/>
      <c r="U3" s="230"/>
      <c r="V3" s="230"/>
      <c r="W3" s="230"/>
      <c r="X3" s="230"/>
      <c r="Y3" s="230" t="s">
        <v>874</v>
      </c>
      <c r="Z3" s="230"/>
      <c r="AA3" s="230"/>
      <c r="AB3" s="230"/>
      <c r="AC3" s="230"/>
      <c r="AD3" s="230"/>
      <c r="AE3" s="229"/>
      <c r="AF3" s="229"/>
      <c r="AG3" s="229"/>
      <c r="AH3" s="229"/>
      <c r="AI3" s="229"/>
      <c r="AJ3" s="229"/>
      <c r="AK3" s="229"/>
      <c r="AL3" s="41"/>
      <c r="AM3" s="39"/>
      <c r="AN3" s="39"/>
      <c r="AO3" s="39"/>
    </row>
    <row r="4" spans="1:42" ht="82.5" x14ac:dyDescent="0.25">
      <c r="A4" s="43" t="s">
        <v>407</v>
      </c>
      <c r="B4" s="43" t="s">
        <v>408</v>
      </c>
      <c r="C4" s="43" t="s">
        <v>510</v>
      </c>
      <c r="D4" s="43" t="s">
        <v>511</v>
      </c>
      <c r="E4" s="43" t="s">
        <v>567</v>
      </c>
      <c r="F4" s="43" t="s">
        <v>445</v>
      </c>
      <c r="G4" s="43" t="s">
        <v>446</v>
      </c>
      <c r="H4" s="43" t="s">
        <v>447</v>
      </c>
      <c r="I4" s="43" t="s">
        <v>448</v>
      </c>
      <c r="J4" s="43" t="s">
        <v>449</v>
      </c>
      <c r="K4" s="43" t="s">
        <v>450</v>
      </c>
      <c r="L4" s="43" t="s">
        <v>451</v>
      </c>
      <c r="M4" s="43" t="s">
        <v>452</v>
      </c>
      <c r="N4" s="43" t="s">
        <v>875</v>
      </c>
      <c r="O4" s="43" t="s">
        <v>899</v>
      </c>
      <c r="P4" s="43" t="s">
        <v>877</v>
      </c>
      <c r="Q4" s="43" t="s">
        <v>878</v>
      </c>
      <c r="R4" s="43" t="s">
        <v>879</v>
      </c>
      <c r="S4" s="43" t="s">
        <v>514</v>
      </c>
      <c r="T4" s="43" t="s">
        <v>880</v>
      </c>
      <c r="U4" s="43" t="s">
        <v>881</v>
      </c>
      <c r="V4" s="43" t="s">
        <v>882</v>
      </c>
      <c r="W4" s="43" t="s">
        <v>883</v>
      </c>
      <c r="X4" s="43" t="s">
        <v>900</v>
      </c>
      <c r="Y4" s="43" t="s">
        <v>885</v>
      </c>
      <c r="Z4" s="43" t="s">
        <v>886</v>
      </c>
      <c r="AA4" s="43" t="s">
        <v>887</v>
      </c>
      <c r="AB4" s="43" t="s">
        <v>888</v>
      </c>
      <c r="AC4" s="43" t="s">
        <v>889</v>
      </c>
      <c r="AD4" s="43" t="s">
        <v>890</v>
      </c>
      <c r="AE4" s="53" t="s">
        <v>901</v>
      </c>
      <c r="AF4" s="43" t="s">
        <v>902</v>
      </c>
      <c r="AG4" s="43" t="s">
        <v>903</v>
      </c>
      <c r="AH4" s="43" t="s">
        <v>904</v>
      </c>
      <c r="AI4" s="53" t="s">
        <v>905</v>
      </c>
      <c r="AJ4" s="54" t="s">
        <v>906</v>
      </c>
      <c r="AK4" s="55" t="s">
        <v>896</v>
      </c>
      <c r="AL4" s="39"/>
      <c r="AM4" s="39"/>
      <c r="AN4" s="39"/>
      <c r="AO4" s="39"/>
    </row>
    <row r="5" spans="1:42" ht="15.75" x14ac:dyDescent="0.25">
      <c r="A5" s="44" t="s">
        <v>961</v>
      </c>
      <c r="B5" s="44"/>
      <c r="C5" s="45"/>
      <c r="D5" s="44"/>
      <c r="E5" s="56"/>
      <c r="F5" s="46"/>
      <c r="G5" s="46"/>
      <c r="H5" s="46"/>
      <c r="I5" s="46"/>
      <c r="J5" s="46"/>
      <c r="K5" s="46"/>
      <c r="L5" s="46"/>
      <c r="M5" s="46"/>
      <c r="N5" s="57" t="str">
        <f>IF(A5="","",SUM(F5:M5))</f>
        <v/>
      </c>
      <c r="O5" s="46"/>
      <c r="P5" s="46"/>
      <c r="Q5" s="57" t="str">
        <f>IF(A5="","",IF(P5&gt;3000,SUM(O5:P5),O5))</f>
        <v/>
      </c>
      <c r="R5" s="122"/>
      <c r="S5" s="45"/>
      <c r="T5" s="117"/>
      <c r="U5" s="57" t="str">
        <f>IF(A5="","",IF(AM5="",0,IF(AM5="0",0,IF(AM5="3",10*(SUM(N5,Q5))/100,IF(AM5="4",IF(R5="",0,R5*15/100),IF((15*(SUM(N5,Q5))/100)&gt;T5,(15*(SUM(N5,Q5))/100),T5))))))</f>
        <v/>
      </c>
      <c r="V5" s="121"/>
      <c r="W5" s="59" t="str">
        <f>IF(A5="","",IF(ROUND(U5,2)-ROUND(V5,2)&lt;0,0,ROUND(U5,2)-ROUND(V5,2)))</f>
        <v/>
      </c>
      <c r="X5" s="57" t="str">
        <f>IF(A5="","",SUM(N5,Q5,R5,W5))</f>
        <v/>
      </c>
      <c r="Y5" s="59" t="str">
        <f>IF(N5="","",IF(AND(C5="Resident",D5="Primary Employee"),30*N5/100,"0.00"))</f>
        <v/>
      </c>
      <c r="Z5" s="121"/>
      <c r="AA5" s="59" t="str">
        <f>IF(A5="","",IF(AND(C5="Resident",D5="Primary Employee"),20000,"0.00"))</f>
        <v/>
      </c>
      <c r="AB5" s="121"/>
      <c r="AC5" s="121"/>
      <c r="AD5" s="57" t="str">
        <f>IF(A5="","",IF(Z5&lt;&gt;"",IF(Y5&lt;Z5,IF(Y5&lt;AA5,Y5,AA5),IF(Z5&lt;AA5,Z5,AA5)),IF(Y5&lt;AA5,Y5,AA5))+(IF(AB5&gt;AC5,AB5,AC5)))</f>
        <v/>
      </c>
      <c r="AE5" s="57" t="str">
        <f>IF(A5="","",150000)</f>
        <v/>
      </c>
      <c r="AF5" s="59" t="str">
        <f>IF(A5="","",IF(ROUND(X5,2)-ROUND(AD5,2)-ROUND(AE5,2)&lt;0,0,ROUND(X5,2)-ROUND(AD5,2)-ROUND(AE5,2)))</f>
        <v/>
      </c>
      <c r="AG5" s="57" t="str">
        <f>IF(AF5="","",getTotalTaxPayble(AF5,D5))</f>
        <v/>
      </c>
      <c r="AH5" s="122"/>
      <c r="AI5" s="122"/>
      <c r="AJ5" s="60" t="str">
        <f>IF(A5="","",IF(AI5="", IF(AG5-AH5&lt;0, 0, AG5-AH5), IF(AG5-AH5-AI5&lt;0,0,AG5-AH5-AI5)))</f>
        <v/>
      </c>
      <c r="AK5" s="46"/>
      <c r="AL5" s="39" t="str">
        <f>IFERROR(LOOKUP(D5,TypeOFEmp,TypeOFEmpCode),"")</f>
        <v/>
      </c>
      <c r="AM5" s="39" t="str">
        <f>IFERROR(LOOKUP(S5,SortedTypeOfHousing,TypeOfHousingCode),"")</f>
        <v/>
      </c>
      <c r="AN5" s="118" t="str">
        <f>IFERROR(LOOKUP(C5,SortedResidentStatus,ResidentStatusCode),"")</f>
        <v/>
      </c>
      <c r="AO5" s="39" t="str">
        <f>IF(A5="","","DTDSBEMP")</f>
        <v/>
      </c>
      <c r="AP5" s="49"/>
    </row>
    <row r="6" spans="1:42" ht="15.75" x14ac:dyDescent="0.25">
      <c r="A6" s="44" t="s">
        <v>961</v>
      </c>
      <c r="B6" s="44"/>
      <c r="C6" s="45"/>
      <c r="D6" s="44"/>
      <c r="E6" s="56"/>
      <c r="F6" s="46"/>
      <c r="G6" s="46"/>
      <c r="H6" s="46"/>
      <c r="I6" s="46"/>
      <c r="J6" s="46"/>
      <c r="K6" s="46"/>
      <c r="L6" s="46"/>
      <c r="M6" s="46"/>
      <c r="N6" s="58" t="str">
        <f>IF(A6="","",SUM(F6:M6))</f>
        <v/>
      </c>
      <c r="O6" s="46"/>
      <c r="P6" s="46"/>
      <c r="Q6" s="58" t="str">
        <f>IF(A6="","",IF(P6&gt;3000,SUM(O6:P6),O6))</f>
        <v/>
      </c>
      <c r="R6" s="121"/>
      <c r="S6" s="45"/>
      <c r="T6" s="117"/>
      <c r="U6" s="57" t="str">
        <f>IF(A6="","",IF(AM6="",0,IF(AM6="0",0,IF(AM6="3",10*(SUM(N6,Q6))/100,IF(AM6="4",IF(R6="",0,R6*15/100),IF((15*(SUM(N6,Q6))/100)&gt;T6,(15*(SUM(N6,Q6))/100),T6))))))</f>
        <v/>
      </c>
      <c r="V6" s="121"/>
      <c r="W6" s="59" t="str">
        <f>IF(A6="","",IF(ROUND(U6,2)-ROUND(V6,2)&lt;0,0,ROUND(U6,2)-ROUND(V6,2)))</f>
        <v/>
      </c>
      <c r="X6" s="57" t="str">
        <f>IF(A6="","",SUM(N6,Q6,R6,W6))</f>
        <v/>
      </c>
      <c r="Y6" s="48" t="str">
        <f>IF(N6="","",IF(AND(C6="Resident",D6="Primary Employee"),30*N6/100,"0.00"))</f>
        <v/>
      </c>
      <c r="Z6" s="121"/>
      <c r="AA6" s="48" t="str">
        <f>IF(A6="","",IF(AND(C6="Resident",D6="Primary Employee"),20000,"0.00"))</f>
        <v/>
      </c>
      <c r="AB6" s="121"/>
      <c r="AC6" s="121"/>
      <c r="AD6" s="57" t="str">
        <f>IF(A6="","",IF(Z6&lt;&gt;"",IF(Y6&lt;Z6,IF(Y6&lt;AA6,Y6,AA6),IF(Z6&lt;AA6,Z6,AA6)),IF(Y6&lt;AA6,Y6,AA6))+(IF(AB6&gt;AC6,AB6,AC6)))</f>
        <v/>
      </c>
      <c r="AE6" s="57" t="str">
        <f>IF(A6="","",150000)</f>
        <v/>
      </c>
      <c r="AF6" s="59" t="str">
        <f>IF(A6="","",IF(ROUND(X6,2)-ROUND(AD6,2)-ROUND(AE6,2)&lt;0,0,ROUND(X6,2)-ROUND(AD6,2)-ROUND(AE6,2)))</f>
        <v/>
      </c>
      <c r="AG6" s="58" t="str">
        <f>IF(AF6="","",getTotalTaxPayble(AF6,D6))</f>
        <v/>
      </c>
      <c r="AH6" s="122"/>
      <c r="AI6" s="122"/>
      <c r="AJ6" s="61" t="str">
        <f>IF(A6="","",IF(AI6="", IF(AG6-AH6&lt;0, 0, AG6-AH6), IF(AG6-AH6-AI6&lt;0,0,AG6-AH6-AI6)))</f>
        <v/>
      </c>
      <c r="AK6" s="46"/>
      <c r="AL6" s="39" t="str">
        <f>IFERROR(LOOKUP(D6,TypeOFEmp,TypeOFEmpCode),"")</f>
        <v/>
      </c>
      <c r="AM6" s="39" t="str">
        <f>IFERROR(LOOKUP(S6,SortedTypeOfHousing,TypeOfHousingCode),"")</f>
        <v/>
      </c>
      <c r="AN6" s="39" t="str">
        <f>IFERROR(LOOKUP(C6,SortedResidentStatus,ResidentStatusCode),"")</f>
        <v/>
      </c>
      <c r="AO6" s="39" t="str">
        <f>IF(A6="","","DTDSBEMP")</f>
        <v/>
      </c>
      <c r="AP6" s="49"/>
    </row>
    <row r="7" spans="1:42" ht="15.75" hidden="1" x14ac:dyDescent="0.25">
      <c r="A7" s="62"/>
      <c r="B7" s="63"/>
      <c r="C7" s="64"/>
      <c r="D7" s="63"/>
      <c r="E7" s="65"/>
      <c r="F7" s="66"/>
      <c r="G7" s="66"/>
      <c r="H7" s="66"/>
      <c r="I7" s="66"/>
      <c r="J7" s="66"/>
      <c r="K7" s="66"/>
      <c r="L7" s="66"/>
      <c r="M7" s="66"/>
      <c r="N7" s="67"/>
      <c r="O7" s="67"/>
      <c r="P7" s="66"/>
      <c r="Q7" s="67"/>
      <c r="R7" s="67"/>
      <c r="S7" s="64"/>
      <c r="T7" s="68"/>
      <c r="U7" s="67"/>
      <c r="V7" s="67"/>
      <c r="W7" s="68"/>
      <c r="X7" s="67"/>
      <c r="Y7" s="68"/>
      <c r="Z7" s="67"/>
      <c r="AA7" s="68"/>
      <c r="AB7" s="67"/>
      <c r="AC7" s="67"/>
      <c r="AD7" s="67"/>
      <c r="AE7" s="67"/>
      <c r="AF7" s="68"/>
      <c r="AG7" s="67"/>
      <c r="AH7" s="67"/>
      <c r="AI7" s="66"/>
      <c r="AJ7" s="69"/>
      <c r="AK7" s="46"/>
      <c r="AL7" s="39"/>
      <c r="AM7" s="39"/>
      <c r="AN7" s="39"/>
      <c r="AO7" s="39"/>
      <c r="AP7" s="49"/>
    </row>
    <row r="8" spans="1:42" ht="16.5" customHeight="1" x14ac:dyDescent="0.3">
      <c r="A8" s="231" t="s">
        <v>897</v>
      </c>
      <c r="B8" s="231"/>
      <c r="C8" s="231"/>
      <c r="D8" s="231"/>
      <c r="E8" s="231"/>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231"/>
      <c r="AI8" s="231"/>
      <c r="AJ8" s="70">
        <f ca="1">SUM(AJ5:OFFSET(DtlsSalPdBftsPayeDedFrmDsblEmpListTO,-1,0))</f>
        <v>0</v>
      </c>
      <c r="AK8" s="47">
        <f ca="1">SUM(AK5:OFFSET(DtlsSalPdBftsSelfPayTaxDEListTO,-1,0))</f>
        <v>0</v>
      </c>
      <c r="AL8" s="39"/>
      <c r="AM8" s="39"/>
      <c r="AN8" s="71"/>
      <c r="AO8" s="39"/>
    </row>
    <row r="9" spans="1:42" ht="36.75" customHeight="1" x14ac:dyDescent="0.25">
      <c r="A9" s="39"/>
      <c r="B9" s="39"/>
      <c r="C9" s="39"/>
      <c r="D9" s="39" t="s">
        <v>907</v>
      </c>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row>
    <row r="10" spans="1:42" ht="36.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row>
  </sheetData>
  <sheetProtection password="94AB" sheet="1" objects="1" scenarios="1" selectLockedCells="1"/>
  <mergeCells count="12">
    <mergeCell ref="AE2:AK3"/>
    <mergeCell ref="Y3:AA3"/>
    <mergeCell ref="AB3:AD3"/>
    <mergeCell ref="A8:AI8"/>
    <mergeCell ref="A1:AK1"/>
    <mergeCell ref="A2:E3"/>
    <mergeCell ref="F2:N3"/>
    <mergeCell ref="O2:Q3"/>
    <mergeCell ref="R2:R3"/>
    <mergeCell ref="S2:W3"/>
    <mergeCell ref="X2:X3"/>
    <mergeCell ref="Y2:AD2"/>
  </mergeCells>
  <dataValidations xWindow="20922" yWindow="14852" count="7">
    <dataValidation type="decimal" allowBlank="1" showInputMessage="1" showErrorMessage="1" errorTitle="Data Error:" error="Please enter positive numeric value of length less than or equal to 15 digit." promptTitle="Numeric:" prompt="Enter numeric value of length less than or equal to 15 digit." sqref="F5:M7 O5:P6 R5:R7 T5:T7 V5:V7 Z5:Z7 AB5:AC7 AH5:AI7 AK5:AK7 P7">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7">
      <formula1>50</formula1>
      <formula2>0</formula2>
    </dataValidation>
    <dataValidation type="textLength" allowBlank="1" showInputMessage="1" showErrorMessage="1" errorTitle="Data Error:" error="Please enter PIN in proper format.  " promptTitle="Alphanumeric:" prompt="Enter 11 digit alphanumeric values for PIN. " sqref="A5:A7">
      <formula1>11</formula1>
      <formula2>11</formula2>
    </dataValidation>
    <dataValidation type="list" allowBlank="1" showInputMessage="1" showErrorMessage="1" errorTitle="Data Error:" error="Please select data from DropDown Only." promptTitle="List:" prompt="Select data from DropDown List. _x000a_" sqref="S5:S7">
      <formula1>TypeOfHousing</formula1>
      <formula2>0</formula2>
    </dataValidation>
    <dataValidation type="list" allowBlank="1" showInputMessage="1" showErrorMessage="1" errorTitle="Data Error:" error="Please select data from DropDown Only." promptTitle="List:" prompt="Select data from DropDown List." sqref="D5:D7">
      <formula1>TypeOFEmp</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E5:E7">
      <formula1>20</formula1>
      <formula2>0</formula2>
    </dataValidation>
    <dataValidation type="list" allowBlank="1" showInputMessage="1" showErrorMessage="1" errorTitle="Data Error:" error="Please select data from DropDown Only." promptTitle="List:" prompt="Select data from DropDown List. _x000a_" sqref="C5:C7">
      <formula1>ResidentStatus</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3"/>
  <sheetViews>
    <sheetView workbookViewId="0">
      <selection activeCell="A3" sqref="A3"/>
    </sheetView>
  </sheetViews>
  <sheetFormatPr defaultColWidth="0" defaultRowHeight="15" zeroHeight="1" x14ac:dyDescent="0.25"/>
  <cols>
    <col min="1" max="10" width="27.7109375" customWidth="1"/>
    <col min="11" max="14" width="3.5703125" customWidth="1"/>
    <col min="15" max="15" width="5" style="39" customWidth="1"/>
  </cols>
  <sheetData>
    <row r="1" spans="1:15" ht="33.75" customHeight="1" x14ac:dyDescent="0.25">
      <c r="A1" s="232" t="s">
        <v>628</v>
      </c>
      <c r="B1" s="232"/>
      <c r="C1" s="232"/>
      <c r="D1" s="232"/>
      <c r="E1" s="232"/>
      <c r="F1" s="232"/>
      <c r="G1" s="232"/>
      <c r="H1" s="232"/>
      <c r="I1" s="232"/>
      <c r="J1" s="232"/>
      <c r="K1" s="39"/>
      <c r="L1" s="39"/>
      <c r="M1" s="39"/>
      <c r="N1" s="39"/>
    </row>
    <row r="2" spans="1:15" ht="33" x14ac:dyDescent="0.25">
      <c r="A2" s="55" t="s">
        <v>407</v>
      </c>
      <c r="B2" s="55" t="s">
        <v>620</v>
      </c>
      <c r="C2" s="55" t="s">
        <v>621</v>
      </c>
      <c r="D2" s="55" t="s">
        <v>397</v>
      </c>
      <c r="E2" s="55" t="s">
        <v>622</v>
      </c>
      <c r="F2" s="55" t="s">
        <v>623</v>
      </c>
      <c r="G2" s="55" t="s">
        <v>624</v>
      </c>
      <c r="H2" s="55" t="s">
        <v>908</v>
      </c>
      <c r="I2" s="55" t="s">
        <v>909</v>
      </c>
      <c r="J2" s="55" t="s">
        <v>910</v>
      </c>
      <c r="K2" s="39"/>
      <c r="L2" s="39"/>
      <c r="M2" s="39"/>
      <c r="N2" s="39"/>
    </row>
    <row r="3" spans="1:15" s="27" customFormat="1" ht="15.75" x14ac:dyDescent="0.25">
      <c r="A3" s="72" t="s">
        <v>961</v>
      </c>
      <c r="B3" s="73"/>
      <c r="C3" s="72"/>
      <c r="D3" s="72"/>
      <c r="E3" s="73"/>
      <c r="F3" s="74"/>
      <c r="G3" s="73"/>
      <c r="H3" s="121"/>
      <c r="I3" s="198"/>
      <c r="J3" s="58" t="str">
        <f>IF(AND(I3&lt;&gt;"",I3&lt;&gt;0),IF(E3="","",ROUND(IF(E3="Saloon Hatch Backs and Estates",IF(LOOKUP(F3,{0,1201,1501,1751,2001,3001},{43200,50400,69600,86400,103200,172800})/12&gt;(I3*2%),LOOKUP(F3,{0,1201,1501,1751,2001,3001},{43200,50400,69600,86400,103200,172800})/12,I3*2%),IF(E3="Pick Ups, Panel Vans Uncovered",IF(LOOKUP(F3,{0,1751},{43200,50400})/12&gt;(I3*2%),LOOKUP(F3,{0,1751},{43200,50400})/12,I3*2%),IF(E3="Land Rovers/ Cruisers(excludes Range Rovers and vehicles of similar nature)",IF(86400/12&gt;I3*2%,86400/12,I3*2%),0))),2)),IF(H3="","",ROUND(H3,2)))</f>
        <v/>
      </c>
      <c r="K3" s="39" t="str">
        <f>IFERROR(LOOKUP(E3,SortedBodyType,BodyTypeCode),"")</f>
        <v/>
      </c>
      <c r="L3" s="39" t="str">
        <f>IFERROR(LOOKUP(G3,SortedCarType,CarTypeCode),"")</f>
        <v/>
      </c>
      <c r="M3" s="39" t="str">
        <f>IFERROR(LOOKUP(B3,RefSchedules,RefSchedulesCode),"")</f>
        <v/>
      </c>
      <c r="N3" s="39" t="str">
        <f>CONCATENATE(A3,B3)</f>
        <v/>
      </c>
      <c r="O3" s="39" t="str">
        <f>CONCATENATE(A3,C3)</f>
        <v/>
      </c>
    </row>
    <row r="4" spans="1:15" s="27" customFormat="1" ht="15.75" x14ac:dyDescent="0.25">
      <c r="A4" s="44" t="s">
        <v>961</v>
      </c>
      <c r="B4" s="77"/>
      <c r="C4" s="76"/>
      <c r="D4" s="76"/>
      <c r="E4" s="77"/>
      <c r="F4" s="78"/>
      <c r="G4" s="77"/>
      <c r="H4" s="122"/>
      <c r="I4" s="197"/>
      <c r="J4" s="58" t="str">
        <f>IF(AND(I4&lt;&gt;"",I4&lt;&gt;0),IF(E4="","",ROUND(IF(E4="Saloon Hatch Backs and Estates",IF(LOOKUP(F4,{0,1201,1501,1751,2001,3001},{43200,50400,69600,86400,103200,172800})/12&gt;(I4*2%),LOOKUP(F4,{0,1201,1501,1751,2001,3001},{43200,50400,69600,86400,103200,172800})/12,I4*2%),IF(E4="Pick Ups, Panel Vans Uncovered",IF(LOOKUP(F4,{0,1751},{43200,50400})/12&gt;(I4*2%),LOOKUP(F4,{0,1751},{43200,50400})/12,I4*2%),IF(E4="Land Rovers/ Cruisers(excludes Range Rovers and vehicles of similar nature)",IF(86400/12&gt;I4*2%,86400/12,I4*2%),0))),2)),IF(H4="","",ROUND(H4,2)))</f>
        <v/>
      </c>
      <c r="K4" s="39" t="str">
        <f>IFERROR(LOOKUP(E4,SortedBodyType,BodyTypeCode),"")</f>
        <v/>
      </c>
      <c r="L4" s="39" t="str">
        <f>IFERROR(LOOKUP(G4,SortedCarType,CarTypeCode),"")</f>
        <v/>
      </c>
      <c r="M4" s="39" t="str">
        <f>IFERROR(LOOKUP(B4,RefSchedules,RefSchedulesCode),"")</f>
        <v/>
      </c>
      <c r="N4" s="39" t="str">
        <f>CONCATENATE(A4,B4)</f>
        <v/>
      </c>
      <c r="O4" s="39" t="str">
        <f>CONCATENATE(A4,C4)</f>
        <v/>
      </c>
    </row>
    <row r="5" spans="1:15" ht="18" customHeight="1" x14ac:dyDescent="0.3">
      <c r="A5" s="233" t="s">
        <v>897</v>
      </c>
      <c r="B5" s="233"/>
      <c r="C5" s="233"/>
      <c r="D5" s="233"/>
      <c r="E5" s="233"/>
      <c r="F5" s="233"/>
      <c r="G5" s="233"/>
      <c r="H5" s="233"/>
      <c r="I5" s="233"/>
      <c r="J5" s="47">
        <f ca="1">SUM(J3:OFFSET(CarBenefitListTO,-1,0))</f>
        <v>0</v>
      </c>
      <c r="K5" s="39"/>
      <c r="L5" s="39"/>
      <c r="M5" s="39"/>
      <c r="N5" s="39"/>
    </row>
    <row r="6" spans="1:15" ht="37.5" customHeight="1" x14ac:dyDescent="0.25">
      <c r="A6" s="39"/>
      <c r="B6" s="39"/>
      <c r="C6" s="39"/>
      <c r="D6" s="39"/>
      <c r="E6" s="39"/>
      <c r="F6" s="39"/>
      <c r="G6" s="39"/>
      <c r="H6" s="39"/>
      <c r="I6" s="39"/>
      <c r="J6" s="39"/>
      <c r="K6" s="39"/>
      <c r="L6" s="39"/>
      <c r="M6" s="39"/>
      <c r="N6" s="39"/>
    </row>
    <row r="7" spans="1:15" ht="37.5" customHeight="1" x14ac:dyDescent="0.25">
      <c r="A7" s="39"/>
      <c r="B7" s="39"/>
      <c r="C7" s="39"/>
      <c r="D7" s="39"/>
      <c r="E7" s="39"/>
      <c r="F7" s="39"/>
      <c r="G7" s="39"/>
      <c r="H7" s="39"/>
      <c r="I7" s="39"/>
      <c r="J7" s="39"/>
      <c r="K7" s="39"/>
      <c r="L7" s="39"/>
      <c r="M7" s="39"/>
      <c r="N7" s="39"/>
    </row>
    <row r="8" spans="1:15" hidden="1" x14ac:dyDescent="0.25"/>
    <row r="9" spans="1:15" hidden="1" x14ac:dyDescent="0.25"/>
    <row r="10" spans="1:15" hidden="1" x14ac:dyDescent="0.25"/>
    <row r="11" spans="1:15" hidden="1" x14ac:dyDescent="0.25"/>
    <row r="12" spans="1:15" hidden="1" x14ac:dyDescent="0.25"/>
    <row r="13" spans="1:15" hidden="1" x14ac:dyDescent="0.25"/>
  </sheetData>
  <sheetProtection password="94AB" sheet="1" objects="1" scenarios="1" selectLockedCells="1"/>
  <mergeCells count="2">
    <mergeCell ref="A1:J1"/>
    <mergeCell ref="A5:I5"/>
  </mergeCells>
  <dataValidations xWindow="1251" yWindow="571" count="8">
    <dataValidation type="decimal" allowBlank="1" showInputMessage="1" showErrorMessage="1" errorTitle="Data Error:" error="Please enter positive numeric value of length less than or equal to 15 digit." promptTitle="Numeric:" prompt="Enter numeric value of length less than or equal to 15 digit." sqref="H3:I4 F3:F4">
      <formula1>0</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decimal" allowBlank="1" errorTitle="Data Error:" error="Please enter positive numeric value of length less than or equal to 15 digit." promptTitle="Numeric:" prompt="Enter numeric value of length less than or equal to 15 digit." sqref="J3:J4">
      <formula1>1</formula1>
      <formula2>999999999999999</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 sqref="G3:G4">
      <formula1>CarType</formula1>
      <formula2>0</formula2>
    </dataValidation>
    <dataValidation type="list" allowBlank="1" showInputMessage="1" showErrorMessage="1" errorTitle="Data Error:" error="Please select data from DropDown Only." promptTitle="List:" prompt="Select data from DropDown List. " sqref="E3:E4">
      <formula1>BodyType</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D3:D4">
      <formula1>50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 are allowed._x000a_" sqref="C3:C4">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
  <sheetViews>
    <sheetView workbookViewId="0">
      <selection activeCell="H4" sqref="H4"/>
    </sheetView>
  </sheetViews>
  <sheetFormatPr defaultColWidth="0" defaultRowHeight="15" zeroHeight="1" x14ac:dyDescent="0.25"/>
  <cols>
    <col min="1" max="14" width="27.7109375" customWidth="1"/>
    <col min="15" max="15" width="3.5703125" style="79" customWidth="1"/>
    <col min="16" max="16" width="8" customWidth="1"/>
    <col min="17" max="17" width="3.5703125" customWidth="1"/>
    <col min="18" max="18" width="21.28515625" customWidth="1"/>
  </cols>
  <sheetData>
    <row r="1" spans="1:18" ht="33.75" customHeight="1" x14ac:dyDescent="0.25">
      <c r="A1" s="223" t="s">
        <v>658</v>
      </c>
      <c r="B1" s="223"/>
      <c r="C1" s="223"/>
      <c r="D1" s="223"/>
      <c r="E1" s="223"/>
      <c r="F1" s="223"/>
      <c r="G1" s="223"/>
      <c r="H1" s="223"/>
      <c r="I1" s="223"/>
      <c r="J1" s="223"/>
      <c r="K1" s="223"/>
      <c r="L1" s="223"/>
      <c r="M1" s="223"/>
      <c r="N1" s="223"/>
      <c r="O1" s="71"/>
      <c r="P1" s="37"/>
      <c r="Q1" s="37"/>
      <c r="R1" s="39"/>
    </row>
    <row r="2" spans="1:18" ht="33" x14ac:dyDescent="0.25">
      <c r="A2" s="55" t="s">
        <v>407</v>
      </c>
      <c r="B2" s="55" t="s">
        <v>620</v>
      </c>
      <c r="C2" s="55" t="s">
        <v>647</v>
      </c>
      <c r="D2" s="55" t="s">
        <v>648</v>
      </c>
      <c r="E2" s="55" t="s">
        <v>649</v>
      </c>
      <c r="F2" s="55" t="s">
        <v>650</v>
      </c>
      <c r="G2" s="55" t="s">
        <v>651</v>
      </c>
      <c r="H2" s="55" t="s">
        <v>652</v>
      </c>
      <c r="I2" s="55" t="s">
        <v>653</v>
      </c>
      <c r="J2" s="55" t="s">
        <v>654</v>
      </c>
      <c r="K2" s="55" t="s">
        <v>911</v>
      </c>
      <c r="L2" s="55" t="s">
        <v>656</v>
      </c>
      <c r="M2" s="55" t="s">
        <v>657</v>
      </c>
      <c r="N2" s="55" t="s">
        <v>912</v>
      </c>
      <c r="O2" s="37"/>
      <c r="P2" s="37"/>
      <c r="Q2" s="37"/>
      <c r="R2" s="39"/>
    </row>
    <row r="3" spans="1:18" ht="15.75" x14ac:dyDescent="0.25">
      <c r="A3" s="114" t="s">
        <v>961</v>
      </c>
      <c r="B3" s="115" t="s">
        <v>961</v>
      </c>
      <c r="C3" s="114" t="s">
        <v>961</v>
      </c>
      <c r="D3" s="114" t="s">
        <v>961</v>
      </c>
      <c r="E3" s="115" t="s">
        <v>961</v>
      </c>
      <c r="F3" s="114" t="s">
        <v>961</v>
      </c>
      <c r="G3" s="115" t="s">
        <v>961</v>
      </c>
      <c r="H3" s="210" t="s">
        <v>961</v>
      </c>
      <c r="I3" s="116" t="s">
        <v>961</v>
      </c>
      <c r="J3" s="116" t="s">
        <v>961</v>
      </c>
      <c r="K3" s="117" t="s">
        <v>961</v>
      </c>
      <c r="L3" s="117" t="s">
        <v>961</v>
      </c>
      <c r="M3" s="116" t="s">
        <v>961</v>
      </c>
      <c r="N3" s="117" t="s">
        <v>961</v>
      </c>
      <c r="O3" s="37" t="str">
        <f>IFERROR(LOOKUP(E3,PurposeOfPolicy,PolicyCode),"")</f>
        <v/>
      </c>
      <c r="P3" s="37" t="str">
        <f>IFERROR(LOOKUP(G3,HolderPolicy,HolderPolicyCode),"")</f>
        <v/>
      </c>
      <c r="Q3" s="37" t="str">
        <f>IFERROR(LOOKUP(B3,RefSchedules,RefSchedulesCode),"")</f>
        <v/>
      </c>
      <c r="R3" s="39" t="str">
        <f>CONCATENATE(A3,B3)</f>
        <v/>
      </c>
    </row>
    <row r="4" spans="1:18" ht="15.75" x14ac:dyDescent="0.25">
      <c r="A4" s="114" t="s">
        <v>961</v>
      </c>
      <c r="B4" s="115" t="s">
        <v>961</v>
      </c>
      <c r="C4" s="114" t="s">
        <v>961</v>
      </c>
      <c r="D4" s="114" t="s">
        <v>961</v>
      </c>
      <c r="E4" s="115" t="s">
        <v>961</v>
      </c>
      <c r="F4" s="114" t="s">
        <v>961</v>
      </c>
      <c r="G4" s="115" t="s">
        <v>961</v>
      </c>
      <c r="H4" s="210" t="s">
        <v>961</v>
      </c>
      <c r="I4" s="116" t="s">
        <v>961</v>
      </c>
      <c r="J4" s="116" t="s">
        <v>961</v>
      </c>
      <c r="K4" s="117" t="s">
        <v>961</v>
      </c>
      <c r="L4" s="117" t="s">
        <v>961</v>
      </c>
      <c r="M4" s="116" t="s">
        <v>961</v>
      </c>
      <c r="N4" s="117" t="s">
        <v>961</v>
      </c>
      <c r="O4" s="37" t="str">
        <f>IFERROR(LOOKUP(E4,PurposeOfPolicy,PolicyCode),"")</f>
        <v/>
      </c>
      <c r="P4" s="37" t="str">
        <f>IFERROR(LOOKUP(G4,HolderPolicy,HolderPolicyCode),"")</f>
        <v/>
      </c>
      <c r="Q4" s="37" t="str">
        <f>IFERROR(LOOKUP(B4,RefSchedules,RefSchedulesCode),"")</f>
        <v/>
      </c>
      <c r="R4" s="39" t="str">
        <f>CONCATENATE(A4,B4)</f>
        <v/>
      </c>
    </row>
    <row r="5" spans="1:18" ht="16.5" customHeight="1" x14ac:dyDescent="0.3">
      <c r="A5" s="234" t="s">
        <v>897</v>
      </c>
      <c r="B5" s="234"/>
      <c r="C5" s="234"/>
      <c r="D5" s="234"/>
      <c r="E5" s="234"/>
      <c r="F5" s="234"/>
      <c r="G5" s="234"/>
      <c r="H5" s="234"/>
      <c r="I5" s="234"/>
      <c r="J5" s="234"/>
      <c r="K5" s="234"/>
      <c r="L5" s="234"/>
      <c r="M5" s="80"/>
      <c r="N5" s="47">
        <f ca="1">SUM(N3:OFFSET(InsReliefDtlsListTO,-1,0))</f>
        <v>0</v>
      </c>
      <c r="O5" s="71"/>
      <c r="P5" s="37"/>
      <c r="Q5" s="37"/>
      <c r="R5" s="39"/>
    </row>
    <row r="6" spans="1:18" ht="37.5" customHeight="1" x14ac:dyDescent="0.25">
      <c r="A6" s="39"/>
      <c r="B6" s="39"/>
      <c r="C6" s="39"/>
      <c r="D6" s="39"/>
      <c r="E6" s="39"/>
      <c r="F6" s="39"/>
      <c r="G6" s="39"/>
      <c r="H6" s="39"/>
      <c r="I6" s="39"/>
      <c r="J6" s="39"/>
      <c r="K6" s="39"/>
      <c r="L6" s="39"/>
      <c r="M6" s="39"/>
      <c r="N6" s="39"/>
      <c r="O6" s="71"/>
      <c r="P6" s="37"/>
      <c r="Q6" s="37"/>
      <c r="R6" s="39"/>
    </row>
    <row r="7" spans="1:18" ht="37.5" customHeight="1" x14ac:dyDescent="0.25">
      <c r="A7" s="39"/>
      <c r="B7" s="39"/>
      <c r="C7" s="39"/>
      <c r="D7" s="39"/>
      <c r="E7" s="39"/>
      <c r="F7" s="39"/>
      <c r="G7" s="39"/>
      <c r="H7" s="39"/>
      <c r="I7" s="39"/>
      <c r="J7" s="39"/>
      <c r="K7" s="39"/>
      <c r="L7" s="39"/>
      <c r="M7" s="39"/>
      <c r="N7" s="39"/>
      <c r="O7" s="71"/>
      <c r="P7" s="37"/>
      <c r="Q7" s="37"/>
      <c r="R7" s="39"/>
    </row>
  </sheetData>
  <sheetProtection password="94AB" sheet="1" objects="1" scenarios="1" selectLockedCells="1"/>
  <mergeCells count="2">
    <mergeCell ref="A1:N1"/>
    <mergeCell ref="A5:L5"/>
  </mergeCells>
  <dataValidations xWindow="20081" yWindow="6298" count="11">
    <dataValidation type="textLength" allowBlank="1" showInputMessage="1" showErrorMessage="1" errorTitle="Data Error:" error="Please enter date value in dd/mm/yyyy format." promptTitle="Date:" prompt="Enter date value in dd/mm/yyyy format." sqref="J3 M3:M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K3:L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D3:D4">
      <formula1>50</formula1>
      <formula2>0</formula2>
    </dataValidation>
    <dataValidation type="textLength" allowBlank="1" showInputMessage="1" showErrorMessage="1" errorTitle="Data Error:" error="Please enter PIN in proper format.  " promptTitle="Alphanumeric:" prompt="Enter 11 digit alphanumeric values for PIN. " sqref="A3:A4 C3:C4">
      <formula1>11</formula1>
      <formula2>11</formula2>
    </dataValidation>
    <dataValidation type="textLength" allowBlank="1" showInputMessage="1" showErrorMessage="1" errorTitle="Date" error="Please enter date value in dd/mm/yyyy format." promptTitle="Date:" prompt="Enter date value in dd/mm/yyyy format." sqref="I3 I4:J4">
      <formula1>10</formula1>
      <formula2>10</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_x000a_" sqref="E3:E4">
      <formula1>PurposeOfPolicy</formula1>
      <formula2>0</formula2>
    </dataValidation>
    <dataValidation type="list" allowBlank="1" showInputMessage="1" showErrorMessage="1" errorTitle="Data Error:" error="Please select data from DropDown Only." promptTitle="List:" prompt="Select data from DropDown List. _x000a_" sqref="G3:G4">
      <formula1>HolderPolicy</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_x000a_" sqref="F3:F4">
      <formula1>20</formula1>
      <formula2>0</formula2>
    </dataValidation>
    <dataValidation type="whole" allowBlank="1" showInputMessage="1" showErrorMessage="1" errorTitle="Data Error:" error="Please Enter age of child between 1 to 18 Years." promptTitle="Numeric:" prompt="Enter age of child between 1 to 18 Years." sqref="H3:H4">
      <formula1>1</formula1>
      <formula2>18</formula2>
    </dataValidation>
    <dataValidation allowBlank="1" errorTitle="Data Error:" error="Please enter positive numeric value of length less than or equal to 15 digit." promptTitle="Numeric:" prompt="Enter numeric value of length less than or equal to 15 digit." sqref="N3:N4">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
  <sheetViews>
    <sheetView workbookViewId="0">
      <selection activeCell="A3" sqref="A3"/>
    </sheetView>
  </sheetViews>
  <sheetFormatPr defaultColWidth="0" defaultRowHeight="16.5" zeroHeight="1" x14ac:dyDescent="0.3"/>
  <cols>
    <col min="1" max="12" width="27.7109375" style="29" customWidth="1"/>
    <col min="13" max="13" width="14" style="29" customWidth="1"/>
    <col min="14" max="16384" width="0" style="29" hidden="1"/>
  </cols>
  <sheetData>
    <row r="1" spans="1:13" ht="33.75" customHeight="1" x14ac:dyDescent="0.3">
      <c r="A1" s="226" t="s">
        <v>684</v>
      </c>
      <c r="B1" s="226"/>
      <c r="C1" s="226"/>
      <c r="D1" s="226"/>
      <c r="E1" s="226"/>
      <c r="F1" s="226"/>
      <c r="G1" s="226"/>
      <c r="H1" s="226"/>
      <c r="I1" s="226"/>
      <c r="J1" s="226"/>
      <c r="K1" s="226"/>
      <c r="L1" s="226"/>
      <c r="M1" s="81"/>
    </row>
    <row r="2" spans="1:13" ht="82.5" x14ac:dyDescent="0.3">
      <c r="A2" s="55" t="s">
        <v>407</v>
      </c>
      <c r="B2" s="55" t="s">
        <v>408</v>
      </c>
      <c r="C2" s="55" t="s">
        <v>409</v>
      </c>
      <c r="D2" s="55" t="s">
        <v>410</v>
      </c>
      <c r="E2" s="55" t="s">
        <v>44</v>
      </c>
      <c r="F2" s="55" t="s">
        <v>680</v>
      </c>
      <c r="G2" s="55" t="s">
        <v>411</v>
      </c>
      <c r="H2" s="55" t="s">
        <v>412</v>
      </c>
      <c r="I2" s="55" t="s">
        <v>913</v>
      </c>
      <c r="J2" s="55" t="s">
        <v>914</v>
      </c>
      <c r="K2" s="55" t="s">
        <v>915</v>
      </c>
      <c r="L2" s="55" t="s">
        <v>916</v>
      </c>
      <c r="M2" s="81"/>
    </row>
    <row r="3" spans="1:13" x14ac:dyDescent="0.3">
      <c r="A3" s="44"/>
      <c r="B3" s="82"/>
      <c r="C3" s="38"/>
      <c r="D3" s="38"/>
      <c r="E3" s="83"/>
      <c r="F3" s="83"/>
      <c r="G3" s="46"/>
      <c r="H3" s="46"/>
      <c r="I3" s="84" t="str">
        <f>IF(A3="","",SUM(G3:H3))</f>
        <v/>
      </c>
      <c r="J3" s="84" t="str">
        <f>IF(E3="","",IF(I3="",0,getTaxPayableFromYear(E3,I3)))</f>
        <v/>
      </c>
      <c r="K3" s="75"/>
      <c r="L3" s="84" t="str">
        <f>IF(A3="","",IF(J3="","",IF(ROUND(J3,2)-ROUND(K3,2)&lt;0,0,ROUND(J3,2)-ROUND(K3,2))))</f>
        <v/>
      </c>
      <c r="M3" s="85"/>
    </row>
    <row r="4" spans="1:13" x14ac:dyDescent="0.3">
      <c r="A4" s="44"/>
      <c r="B4" s="44"/>
      <c r="C4" s="38"/>
      <c r="D4" s="38"/>
      <c r="E4" s="83"/>
      <c r="F4" s="83"/>
      <c r="G4" s="46"/>
      <c r="H4" s="46"/>
      <c r="I4" s="84" t="str">
        <f>IF(A4="","",SUM(G4:H4))</f>
        <v/>
      </c>
      <c r="J4" s="84" t="str">
        <f>IF(E4="","",IF(I4="",0,getTaxPayableFromYear(E4,I4)))</f>
        <v/>
      </c>
      <c r="K4" s="75"/>
      <c r="L4" s="84" t="str">
        <f>IF(A4="","",IF(J4="","",IF(ROUND(J4,2)-ROUND(K4,2)&lt;0,0,ROUND(J4,2)-ROUND(K4,2))))</f>
        <v/>
      </c>
      <c r="M4" s="85"/>
    </row>
    <row r="5" spans="1:13" ht="17.25" customHeight="1" x14ac:dyDescent="0.3">
      <c r="A5" s="235" t="s">
        <v>897</v>
      </c>
      <c r="B5" s="235"/>
      <c r="C5" s="235"/>
      <c r="D5" s="235"/>
      <c r="E5" s="235"/>
      <c r="F5" s="235"/>
      <c r="G5" s="235"/>
      <c r="H5" s="235"/>
      <c r="I5" s="235"/>
      <c r="J5" s="235"/>
      <c r="K5" s="235"/>
      <c r="L5" s="86">
        <f ca="1">SUM(L3:OFFSET(TaxPdOnLumpSumPdAftrTrmtnListTO,-1,0))</f>
        <v>0</v>
      </c>
      <c r="M5" s="81"/>
    </row>
    <row r="6" spans="1:13" ht="37.5" customHeight="1" x14ac:dyDescent="0.3">
      <c r="A6" s="81"/>
      <c r="B6" s="81"/>
      <c r="C6" s="81"/>
      <c r="D6" s="81"/>
      <c r="E6" s="81"/>
      <c r="F6" s="81"/>
      <c r="G6" s="81"/>
      <c r="H6" s="81"/>
      <c r="I6" s="81"/>
      <c r="J6" s="81"/>
      <c r="K6" s="81"/>
      <c r="L6" s="81"/>
      <c r="M6" s="81"/>
    </row>
    <row r="7" spans="1:13" ht="37.5" customHeight="1" x14ac:dyDescent="0.3">
      <c r="A7" s="81"/>
      <c r="B7" s="81"/>
      <c r="C7" s="81"/>
      <c r="D7" s="81"/>
      <c r="E7" s="81"/>
      <c r="F7" s="81"/>
      <c r="G7" s="81"/>
      <c r="H7" s="81"/>
      <c r="I7" s="81"/>
      <c r="J7" s="81"/>
      <c r="K7" s="81"/>
      <c r="L7" s="81"/>
      <c r="M7" s="81"/>
    </row>
  </sheetData>
  <sheetProtection password="94AB" sheet="1" objects="1" scenarios="1" selectLockedCells="1"/>
  <mergeCells count="2">
    <mergeCell ref="A1:L1"/>
    <mergeCell ref="A5:K5"/>
  </mergeCells>
  <dataValidations xWindow="316" yWindow="390" count="6">
    <dataValidation type="textLength" allowBlank="1" showInputMessage="1" showErrorMessage="1" errorTitle="Data Error:" error="Please enter date value in dd/mm/yyyy format." promptTitle="Date:" prompt="Enter date value in dd/mm/yyyy format." sqref="C3:D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H4 K3:K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list" allowBlank="1" showInputMessage="1" showErrorMessage="1" error="Please select data from DropDown Only." promptTitle="Year:" prompt="Select data from DropDown List." sqref="E3:F4">
      <formula1>OtherYear</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3"/>
  <sheetViews>
    <sheetView topLeftCell="A4" workbookViewId="0">
      <selection activeCell="AK6" sqref="AK6"/>
    </sheetView>
  </sheetViews>
  <sheetFormatPr defaultColWidth="0" defaultRowHeight="15" zeroHeight="1" x14ac:dyDescent="0.25"/>
  <cols>
    <col min="1" max="39" width="27.7109375" customWidth="1"/>
    <col min="40" max="44" width="3.5703125" customWidth="1"/>
  </cols>
  <sheetData>
    <row r="1" spans="1:44" ht="33.75" customHeight="1" x14ac:dyDescent="0.25">
      <c r="A1" s="226" t="s">
        <v>917</v>
      </c>
      <c r="B1" s="226"/>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c r="AM1" s="226"/>
      <c r="AN1" s="41"/>
      <c r="AO1" s="39"/>
      <c r="AP1" s="39"/>
      <c r="AQ1" s="39"/>
      <c r="AR1" s="39"/>
    </row>
    <row r="2" spans="1:44" ht="21" customHeight="1" x14ac:dyDescent="0.25">
      <c r="A2" s="230"/>
      <c r="B2" s="230"/>
      <c r="C2" s="230"/>
      <c r="D2" s="230"/>
      <c r="E2" s="230"/>
      <c r="F2" s="230"/>
      <c r="G2" s="230" t="s">
        <v>870</v>
      </c>
      <c r="H2" s="230"/>
      <c r="I2" s="230"/>
      <c r="J2" s="230"/>
      <c r="K2" s="230"/>
      <c r="L2" s="230"/>
      <c r="M2" s="230"/>
      <c r="N2" s="230"/>
      <c r="O2" s="230"/>
      <c r="P2" s="230" t="s">
        <v>871</v>
      </c>
      <c r="Q2" s="230"/>
      <c r="R2" s="230"/>
      <c r="S2" s="230"/>
      <c r="T2" s="230" t="s">
        <v>872</v>
      </c>
      <c r="U2" s="230"/>
      <c r="V2" s="230"/>
      <c r="W2" s="230"/>
      <c r="X2" s="230"/>
      <c r="Y2" s="230"/>
      <c r="Z2" s="237" t="s">
        <v>873</v>
      </c>
      <c r="AA2" s="237"/>
      <c r="AB2" s="237"/>
      <c r="AC2" s="237"/>
      <c r="AD2" s="237"/>
      <c r="AE2" s="237"/>
      <c r="AF2" s="230"/>
      <c r="AG2" s="230"/>
      <c r="AH2" s="230"/>
      <c r="AI2" s="230"/>
      <c r="AJ2" s="230"/>
      <c r="AK2" s="230"/>
      <c r="AL2" s="230"/>
      <c r="AM2" s="230"/>
      <c r="AN2" s="39"/>
      <c r="AO2" s="39"/>
      <c r="AP2" s="39"/>
      <c r="AQ2" s="39"/>
      <c r="AR2" s="39"/>
    </row>
    <row r="3" spans="1:44" ht="21" customHeight="1" x14ac:dyDescent="0.25">
      <c r="A3" s="230"/>
      <c r="B3" s="230"/>
      <c r="C3" s="230"/>
      <c r="D3" s="230"/>
      <c r="E3" s="230"/>
      <c r="F3" s="230"/>
      <c r="G3" s="230"/>
      <c r="H3" s="230"/>
      <c r="I3" s="230"/>
      <c r="J3" s="230"/>
      <c r="K3" s="230"/>
      <c r="L3" s="230"/>
      <c r="M3" s="230"/>
      <c r="N3" s="230"/>
      <c r="O3" s="230"/>
      <c r="P3" s="230"/>
      <c r="Q3" s="230"/>
      <c r="R3" s="230"/>
      <c r="S3" s="230"/>
      <c r="T3" s="230"/>
      <c r="U3" s="230"/>
      <c r="V3" s="230"/>
      <c r="W3" s="230"/>
      <c r="X3" s="230"/>
      <c r="Y3" s="230"/>
      <c r="Z3" s="230" t="s">
        <v>874</v>
      </c>
      <c r="AA3" s="230"/>
      <c r="AB3" s="230"/>
      <c r="AC3" s="230"/>
      <c r="AD3" s="230"/>
      <c r="AE3" s="230"/>
      <c r="AF3" s="230"/>
      <c r="AG3" s="230"/>
      <c r="AH3" s="230"/>
      <c r="AI3" s="230"/>
      <c r="AJ3" s="230"/>
      <c r="AK3" s="230"/>
      <c r="AL3" s="230"/>
      <c r="AM3" s="230"/>
      <c r="AN3" s="39"/>
      <c r="AO3" s="39"/>
      <c r="AP3" s="39"/>
      <c r="AQ3" s="39"/>
      <c r="AR3" s="39"/>
    </row>
    <row r="4" spans="1:44" ht="82.5" x14ac:dyDescent="0.25">
      <c r="A4" s="43" t="s">
        <v>407</v>
      </c>
      <c r="B4" s="43" t="s">
        <v>408</v>
      </c>
      <c r="C4" s="43" t="s">
        <v>701</v>
      </c>
      <c r="D4" s="43" t="s">
        <v>702</v>
      </c>
      <c r="E4" s="43" t="s">
        <v>510</v>
      </c>
      <c r="F4" s="43" t="s">
        <v>511</v>
      </c>
      <c r="G4" s="43" t="s">
        <v>445</v>
      </c>
      <c r="H4" s="43" t="s">
        <v>446</v>
      </c>
      <c r="I4" s="43" t="s">
        <v>447</v>
      </c>
      <c r="J4" s="43" t="s">
        <v>448</v>
      </c>
      <c r="K4" s="43" t="s">
        <v>449</v>
      </c>
      <c r="L4" s="43" t="s">
        <v>450</v>
      </c>
      <c r="M4" s="43" t="s">
        <v>451</v>
      </c>
      <c r="N4" s="43" t="s">
        <v>452</v>
      </c>
      <c r="O4" s="43" t="s">
        <v>875</v>
      </c>
      <c r="P4" s="43" t="s">
        <v>918</v>
      </c>
      <c r="Q4" s="43" t="s">
        <v>877</v>
      </c>
      <c r="R4" s="43" t="s">
        <v>919</v>
      </c>
      <c r="S4" s="43" t="s">
        <v>879</v>
      </c>
      <c r="T4" s="43" t="s">
        <v>514</v>
      </c>
      <c r="U4" s="43" t="s">
        <v>880</v>
      </c>
      <c r="V4" s="43" t="s">
        <v>881</v>
      </c>
      <c r="W4" s="43" t="s">
        <v>882</v>
      </c>
      <c r="X4" s="43" t="s">
        <v>920</v>
      </c>
      <c r="Y4" s="43" t="s">
        <v>921</v>
      </c>
      <c r="Z4" s="43" t="s">
        <v>885</v>
      </c>
      <c r="AA4" s="43" t="s">
        <v>886</v>
      </c>
      <c r="AB4" s="43" t="s">
        <v>887</v>
      </c>
      <c r="AC4" s="43" t="s">
        <v>888</v>
      </c>
      <c r="AD4" s="43" t="s">
        <v>889</v>
      </c>
      <c r="AE4" s="43" t="s">
        <v>890</v>
      </c>
      <c r="AF4" s="43" t="s">
        <v>891</v>
      </c>
      <c r="AG4" s="43" t="s">
        <v>892</v>
      </c>
      <c r="AH4" s="43" t="s">
        <v>893</v>
      </c>
      <c r="AI4" s="43" t="s">
        <v>922</v>
      </c>
      <c r="AJ4" s="43" t="s">
        <v>923</v>
      </c>
      <c r="AK4" s="43" t="s">
        <v>924</v>
      </c>
      <c r="AL4" s="43" t="s">
        <v>925</v>
      </c>
      <c r="AM4" s="55" t="s">
        <v>896</v>
      </c>
      <c r="AN4" s="39"/>
      <c r="AO4" s="39"/>
      <c r="AP4" s="39"/>
      <c r="AQ4" s="39"/>
      <c r="AR4" s="39"/>
    </row>
    <row r="5" spans="1:44" ht="15.75" customHeight="1" x14ac:dyDescent="0.25">
      <c r="A5" s="44"/>
      <c r="B5" s="44"/>
      <c r="C5" s="36"/>
      <c r="D5" s="87"/>
      <c r="E5" s="45"/>
      <c r="F5" s="44"/>
      <c r="G5" s="46"/>
      <c r="H5" s="46"/>
      <c r="I5" s="46"/>
      <c r="J5" s="46"/>
      <c r="K5" s="46"/>
      <c r="L5" s="46"/>
      <c r="M5" s="46"/>
      <c r="N5" s="46"/>
      <c r="O5" s="57" t="str">
        <f>IF(A5="","",SUM(G5:N5))</f>
        <v/>
      </c>
      <c r="P5" s="46"/>
      <c r="Q5" s="46"/>
      <c r="R5" s="57" t="str">
        <f>IF(A5="","",IF(Q5&gt;3000,SUM(P5:Q5),P5))</f>
        <v/>
      </c>
      <c r="S5" s="191"/>
      <c r="T5" s="45"/>
      <c r="U5" s="117"/>
      <c r="V5" s="57" t="str">
        <f>IF(A5="","",IF(AO5="",0,IF(AO5="0",0,IF(AO5="3",10*(SUM(O5,R5))/100,IF(AO5="4",IF(S5="",0,S5*15/100),IF((15*(SUM(O5,R5))/100)&gt;U5,(15*(SUM(O5,R5))/100),U5))))))</f>
        <v/>
      </c>
      <c r="W5" s="117"/>
      <c r="X5" s="57" t="str">
        <f>IF(A5="","",ROUND(V5,2)-ROUND(W5,2))</f>
        <v/>
      </c>
      <c r="Y5" s="57" t="str">
        <f>IF(A5="","",SUM(O5,R5,S5,X5))</f>
        <v/>
      </c>
      <c r="Z5" s="59" t="str">
        <f>IF(A5="","",IF(AND(E5="Resident",F5="Primary Employee"),30*O5/100,"0.00"))</f>
        <v/>
      </c>
      <c r="AA5" s="117"/>
      <c r="AB5" s="59" t="str">
        <f>IF(A5="","",IF(AND(E5="Resident",F5="Primary Employee"),20000,"0.00"))</f>
        <v/>
      </c>
      <c r="AC5" s="117"/>
      <c r="AD5" s="117"/>
      <c r="AE5" s="58" t="str">
        <f>IF(A5="","",IF(AA5&lt;&gt;"",IF(Z5&lt;AA5,IF(Z5&lt;AB5,Z5,AB5),IF(AA5&lt;AB5,AA5,AB5)),IF(Z5&lt;AB5,Z5,AB5))+(IF(AC5&gt;AD5,AC5,AD5)))</f>
        <v/>
      </c>
      <c r="AF5" s="58" t="str">
        <f>IF(A5="","",ROUND(Y5,2)-ROUND(AE5,2))</f>
        <v/>
      </c>
      <c r="AG5" s="58" t="str">
        <f>IF(A5="","",getTotalTaxPayble(AF5,F5))</f>
        <v/>
      </c>
      <c r="AH5" s="117"/>
      <c r="AI5" s="117"/>
      <c r="AJ5" s="48" t="str">
        <f>IF(A5="","",IF(AI5="", IF(AG5-AH5&lt;0, 0, AG5-AH5), IF(AG5-AH5-AI5&lt;0,0,AG5-AH5-AI5)))</f>
        <v/>
      </c>
      <c r="AK5" s="46"/>
      <c r="AL5" s="57" t="str">
        <f>IF(A5="","",IF(F5="","",ROUND(AJ5,2)-ROUND(AK5,2)))</f>
        <v/>
      </c>
      <c r="AM5" s="46"/>
      <c r="AN5" s="39" t="str">
        <f>IFERROR(LOOKUP(F5,TypeOFEmp,TypeOFEmpCode),"")</f>
        <v/>
      </c>
      <c r="AO5" s="39" t="str">
        <f>IFERROR(LOOKUP(T5,SortedTypeOfHousing,TypeOfHousingCode),"")</f>
        <v/>
      </c>
      <c r="AP5" s="39" t="str">
        <f>IFERROR(LOOKUP(C5,SortedMonthList,MonthCode),"")</f>
        <v/>
      </c>
      <c r="AQ5" s="39" t="str">
        <f>IFERROR(LOOKUP(E5,SortedResidentStatus,ResidentStatusCode),"")</f>
        <v/>
      </c>
      <c r="AR5" s="39" t="str">
        <f>IF(A5="","","ADEMP")</f>
        <v/>
      </c>
    </row>
    <row r="6" spans="1:44" ht="15.75" customHeight="1" x14ac:dyDescent="0.25">
      <c r="A6" s="44"/>
      <c r="B6" s="44"/>
      <c r="C6" s="36"/>
      <c r="D6" s="87"/>
      <c r="E6" s="45"/>
      <c r="F6" s="44"/>
      <c r="G6" s="46"/>
      <c r="H6" s="46"/>
      <c r="I6" s="46"/>
      <c r="J6" s="46"/>
      <c r="K6" s="46"/>
      <c r="L6" s="46"/>
      <c r="M6" s="46"/>
      <c r="N6" s="46"/>
      <c r="O6" s="58" t="str">
        <f>IF(A6="","",SUM(G6:N6))</f>
        <v/>
      </c>
      <c r="P6" s="46"/>
      <c r="Q6" s="46"/>
      <c r="R6" s="58" t="str">
        <f>IF(A6="","",IF(Q6&gt;3000,SUM(P6:Q6),P6))</f>
        <v/>
      </c>
      <c r="S6" s="191"/>
      <c r="T6" s="45"/>
      <c r="U6" s="117"/>
      <c r="V6" s="57" t="str">
        <f>IF(A6="","",IF(AO6="",0,IF(AO6="0",0,IF(AO6="3",10*(SUM(O6,R6))/100,IF(AO6="4",IF(S6="",0,S6*15/100),IF((15*(SUM(O6,R6))/100)&gt;U6,(15*(SUM(O6,R6))/100),U6))))))</f>
        <v/>
      </c>
      <c r="W6" s="117"/>
      <c r="X6" s="57" t="str">
        <f>IF(A6="","",ROUND(V6,2)-ROUND(W6,2))</f>
        <v/>
      </c>
      <c r="Y6" s="57" t="str">
        <f>IF(A6="","",SUM(O6,R6,S6,X6))</f>
        <v/>
      </c>
      <c r="Z6" s="48" t="str">
        <f>IF(A6="","",IF(AND(E6="Resident",F6="Primary Employee"),30*O6/100,"0.00"))</f>
        <v/>
      </c>
      <c r="AA6" s="117"/>
      <c r="AB6" s="48" t="str">
        <f>IF(A6="","",IF(AND(E6="Resident",F6="Primary Employee"),20000,"0.00"))</f>
        <v/>
      </c>
      <c r="AC6" s="117"/>
      <c r="AD6" s="117"/>
      <c r="AE6" s="58" t="str">
        <f>IF(A6="","",IF(AA6&lt;&gt;"",IF(Z6&lt;AA6,IF(Z6&lt;AB6,Z6,AB6),IF(AA6&lt;AB6,AA6,AB6)),IF(Z6&lt;AB6,Z6,AB6))+(IF(AC6&gt;AD6,AC6,AD6)))</f>
        <v/>
      </c>
      <c r="AF6" s="58" t="str">
        <f>IF(A6="","",ROUND(Y6,2)-ROUND(AE6,2))</f>
        <v/>
      </c>
      <c r="AG6" s="58" t="str">
        <f>IF(A6="","",getTotalTaxPayble(AF6,F6))</f>
        <v/>
      </c>
      <c r="AH6" s="117"/>
      <c r="AI6" s="117"/>
      <c r="AJ6" s="48" t="str">
        <f>IF(A6="","",IF(AI6="", IF(AG6-AH6&lt;0, 0, AG6-AH6), IF(AG6-AH6-AI6&lt;0,0,AG6-AH6-AI6)))</f>
        <v/>
      </c>
      <c r="AK6" s="46"/>
      <c r="AL6" s="58" t="str">
        <f>IF(A6="","",IF(F6="","",ROUND(AJ6,2)-ROUND(AK6,2)))</f>
        <v/>
      </c>
      <c r="AM6" s="46"/>
      <c r="AN6" s="39" t="str">
        <f>IFERROR(LOOKUP(F6,TypeOFEmp,TypeOFEmpCode),"")</f>
        <v/>
      </c>
      <c r="AO6" s="39" t="str">
        <f>IFERROR(LOOKUP(T6,SortedTypeOfHousing,TypeOfHousingCode),"")</f>
        <v/>
      </c>
      <c r="AP6" s="39" t="str">
        <f>IFERROR(LOOKUP(C6,SortedMonthList,MonthCode),"")</f>
        <v/>
      </c>
      <c r="AQ6" s="39" t="str">
        <f>IFERROR(LOOKUP(E6,SortedResidentStatus,ResidentStatusCode),"")</f>
        <v/>
      </c>
      <c r="AR6" s="39" t="str">
        <f>IF(A6="","","ADEMP")</f>
        <v/>
      </c>
    </row>
    <row r="7" spans="1:44" ht="18" customHeight="1" x14ac:dyDescent="0.3">
      <c r="A7" s="236" t="s">
        <v>897</v>
      </c>
      <c r="B7" s="236"/>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88">
        <f ca="1">SUM(AL5:OFFSET(DtlsArrSalPdBftsPayeDedFrmEmpListTO,-1,0))</f>
        <v>0</v>
      </c>
      <c r="AM7" s="88">
        <f ca="1">SUM(AM5:OFFSET(DtlsSalPdArrearDEListTO,-1,0))</f>
        <v>0</v>
      </c>
      <c r="AN7" s="39"/>
      <c r="AO7" s="39"/>
      <c r="AP7" s="39"/>
      <c r="AQ7" s="39"/>
      <c r="AR7" s="39"/>
    </row>
    <row r="8" spans="1:44"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row>
    <row r="9" spans="1:44"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row>
    <row r="10" spans="1:44" hidden="1" x14ac:dyDescent="0.25"/>
    <row r="11" spans="1:44" hidden="1" x14ac:dyDescent="0.25"/>
    <row r="12" spans="1:44" hidden="1" x14ac:dyDescent="0.25"/>
    <row r="13" spans="1:44" hidden="1" x14ac:dyDescent="0.25"/>
  </sheetData>
  <sheetProtection password="94AB" sheet="1" objects="1" scenarios="1" selectLockedCells="1"/>
  <mergeCells count="12">
    <mergeCell ref="AF2:AM3"/>
    <mergeCell ref="Z3:AB3"/>
    <mergeCell ref="AC3:AE3"/>
    <mergeCell ref="A7:AK7"/>
    <mergeCell ref="A1:AM1"/>
    <mergeCell ref="A2:F3"/>
    <mergeCell ref="G2:O3"/>
    <mergeCell ref="P2:R3"/>
    <mergeCell ref="S2:S3"/>
    <mergeCell ref="T2:X3"/>
    <mergeCell ref="Y2:Y3"/>
    <mergeCell ref="Z2:AE2"/>
  </mergeCells>
  <dataValidations xWindow="212" yWindow="549" count="9">
    <dataValidation type="decimal" allowBlank="1" showInputMessage="1" showErrorMessage="1" errorTitle="Data Error:" error="Please enter positive numeric value of length less than or equal to 15 digit." promptTitle="Numeric:" prompt="Enter numeric value of length less than or equal to 15 digit." sqref="G5:N6 Q5:Q6 S5:S6 U5:U6 W5:W6 AA5:AA6 AC5:AD6 AH5:AI6 AK5:AK6 AM5:AM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_x000a_" sqref="T5:T6">
      <formula1>TypeOfHousing</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P5:P6">
      <formula1>0</formula1>
      <formula2>999999999999999</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11"/>
  <sheetViews>
    <sheetView workbookViewId="0">
      <selection activeCell="A5" sqref="A5"/>
    </sheetView>
  </sheetViews>
  <sheetFormatPr defaultColWidth="0" defaultRowHeight="15" zeroHeight="1" x14ac:dyDescent="0.25"/>
  <cols>
    <col min="1" max="41" width="27.7109375" customWidth="1"/>
    <col min="42" max="46" width="3.5703125" customWidth="1"/>
  </cols>
  <sheetData>
    <row r="1" spans="1:46" ht="33.75" customHeight="1" x14ac:dyDescent="0.25">
      <c r="A1" s="226" t="s">
        <v>926</v>
      </c>
      <c r="B1" s="226"/>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c r="AM1" s="226"/>
      <c r="AN1" s="226"/>
      <c r="AO1" s="226"/>
      <c r="AP1" s="41"/>
      <c r="AQ1" s="39"/>
      <c r="AR1" s="39"/>
      <c r="AS1" s="39"/>
      <c r="AT1" s="39"/>
    </row>
    <row r="2" spans="1:46" ht="21" customHeight="1" x14ac:dyDescent="0.25">
      <c r="A2" s="230"/>
      <c r="B2" s="230"/>
      <c r="C2" s="230"/>
      <c r="D2" s="230"/>
      <c r="E2" s="230"/>
      <c r="F2" s="230"/>
      <c r="G2" s="230"/>
      <c r="H2" s="230" t="s">
        <v>870</v>
      </c>
      <c r="I2" s="230"/>
      <c r="J2" s="230"/>
      <c r="K2" s="230"/>
      <c r="L2" s="230"/>
      <c r="M2" s="230"/>
      <c r="N2" s="230"/>
      <c r="O2" s="230"/>
      <c r="P2" s="230"/>
      <c r="Q2" s="230" t="s">
        <v>871</v>
      </c>
      <c r="R2" s="230"/>
      <c r="S2" s="230"/>
      <c r="T2" s="230"/>
      <c r="U2" s="230" t="s">
        <v>872</v>
      </c>
      <c r="V2" s="230"/>
      <c r="W2" s="230"/>
      <c r="X2" s="230"/>
      <c r="Y2" s="230"/>
      <c r="Z2" s="230"/>
      <c r="AA2" s="230" t="s">
        <v>873</v>
      </c>
      <c r="AB2" s="230"/>
      <c r="AC2" s="230"/>
      <c r="AD2" s="230"/>
      <c r="AE2" s="230"/>
      <c r="AF2" s="230"/>
      <c r="AG2" s="229"/>
      <c r="AH2" s="229"/>
      <c r="AI2" s="229"/>
      <c r="AJ2" s="229"/>
      <c r="AK2" s="229"/>
      <c r="AL2" s="229"/>
      <c r="AM2" s="229"/>
      <c r="AN2" s="229"/>
      <c r="AO2" s="229"/>
      <c r="AP2" s="41"/>
      <c r="AQ2" s="39"/>
      <c r="AR2" s="39"/>
      <c r="AS2" s="39"/>
      <c r="AT2" s="39"/>
    </row>
    <row r="3" spans="1:46" ht="21" customHeight="1" x14ac:dyDescent="0.25">
      <c r="A3" s="230"/>
      <c r="B3" s="230"/>
      <c r="C3" s="230"/>
      <c r="D3" s="230"/>
      <c r="E3" s="230"/>
      <c r="F3" s="230"/>
      <c r="G3" s="230"/>
      <c r="H3" s="230"/>
      <c r="I3" s="230"/>
      <c r="J3" s="230"/>
      <c r="K3" s="230"/>
      <c r="L3" s="230"/>
      <c r="M3" s="230"/>
      <c r="N3" s="230"/>
      <c r="O3" s="230"/>
      <c r="P3" s="230"/>
      <c r="Q3" s="230"/>
      <c r="R3" s="230"/>
      <c r="S3" s="230"/>
      <c r="T3" s="230"/>
      <c r="U3" s="230"/>
      <c r="V3" s="230"/>
      <c r="W3" s="230"/>
      <c r="X3" s="230"/>
      <c r="Y3" s="230"/>
      <c r="Z3" s="230"/>
      <c r="AA3" s="238" t="s">
        <v>874</v>
      </c>
      <c r="AB3" s="238"/>
      <c r="AC3" s="238"/>
      <c r="AD3" s="230"/>
      <c r="AE3" s="230"/>
      <c r="AF3" s="230"/>
      <c r="AG3" s="229"/>
      <c r="AH3" s="229"/>
      <c r="AI3" s="229"/>
      <c r="AJ3" s="229"/>
      <c r="AK3" s="229"/>
      <c r="AL3" s="229"/>
      <c r="AM3" s="229"/>
      <c r="AN3" s="229"/>
      <c r="AO3" s="229"/>
      <c r="AP3" s="41"/>
      <c r="AQ3" s="39"/>
      <c r="AR3" s="39"/>
      <c r="AS3" s="39"/>
      <c r="AT3" s="39"/>
    </row>
    <row r="4" spans="1:46" ht="82.5" x14ac:dyDescent="0.25">
      <c r="A4" s="43" t="s">
        <v>407</v>
      </c>
      <c r="B4" s="43" t="s">
        <v>408</v>
      </c>
      <c r="C4" s="43" t="s">
        <v>701</v>
      </c>
      <c r="D4" s="43" t="s">
        <v>702</v>
      </c>
      <c r="E4" s="43" t="s">
        <v>510</v>
      </c>
      <c r="F4" s="43" t="s">
        <v>511</v>
      </c>
      <c r="G4" s="43" t="s">
        <v>567</v>
      </c>
      <c r="H4" s="43" t="s">
        <v>445</v>
      </c>
      <c r="I4" s="43" t="s">
        <v>446</v>
      </c>
      <c r="J4" s="43" t="s">
        <v>447</v>
      </c>
      <c r="K4" s="43" t="s">
        <v>448</v>
      </c>
      <c r="L4" s="43" t="s">
        <v>449</v>
      </c>
      <c r="M4" s="43" t="s">
        <v>450</v>
      </c>
      <c r="N4" s="43" t="s">
        <v>451</v>
      </c>
      <c r="O4" s="43" t="s">
        <v>452</v>
      </c>
      <c r="P4" s="43" t="s">
        <v>875</v>
      </c>
      <c r="Q4" s="43" t="s">
        <v>918</v>
      </c>
      <c r="R4" s="43" t="s">
        <v>877</v>
      </c>
      <c r="S4" s="43" t="s">
        <v>919</v>
      </c>
      <c r="T4" s="43" t="s">
        <v>879</v>
      </c>
      <c r="U4" s="43" t="s">
        <v>514</v>
      </c>
      <c r="V4" s="43" t="s">
        <v>880</v>
      </c>
      <c r="W4" s="43" t="s">
        <v>881</v>
      </c>
      <c r="X4" s="43" t="s">
        <v>882</v>
      </c>
      <c r="Y4" s="43" t="s">
        <v>920</v>
      </c>
      <c r="Z4" s="43" t="s">
        <v>921</v>
      </c>
      <c r="AA4" s="43" t="s">
        <v>885</v>
      </c>
      <c r="AB4" s="43" t="s">
        <v>886</v>
      </c>
      <c r="AC4" s="43" t="s">
        <v>887</v>
      </c>
      <c r="AD4" s="43" t="s">
        <v>888</v>
      </c>
      <c r="AE4" s="43" t="s">
        <v>889</v>
      </c>
      <c r="AF4" s="43" t="s">
        <v>890</v>
      </c>
      <c r="AG4" s="53" t="s">
        <v>901</v>
      </c>
      <c r="AH4" s="43" t="s">
        <v>902</v>
      </c>
      <c r="AI4" s="43" t="s">
        <v>903</v>
      </c>
      <c r="AJ4" s="43" t="s">
        <v>904</v>
      </c>
      <c r="AK4" s="53" t="s">
        <v>927</v>
      </c>
      <c r="AL4" s="53" t="s">
        <v>906</v>
      </c>
      <c r="AM4" s="89" t="s">
        <v>928</v>
      </c>
      <c r="AN4" s="90" t="s">
        <v>929</v>
      </c>
      <c r="AO4" s="43" t="s">
        <v>896</v>
      </c>
      <c r="AP4" s="39"/>
      <c r="AQ4" s="39"/>
      <c r="AR4" s="39"/>
      <c r="AS4" s="39"/>
      <c r="AT4" s="39"/>
    </row>
    <row r="5" spans="1:46" ht="15.75" x14ac:dyDescent="0.25">
      <c r="A5" s="44" t="s">
        <v>961</v>
      </c>
      <c r="B5" s="44"/>
      <c r="C5" s="36"/>
      <c r="D5" s="87"/>
      <c r="E5" s="45"/>
      <c r="F5" s="44"/>
      <c r="G5" s="87"/>
      <c r="H5" s="46"/>
      <c r="I5" s="46"/>
      <c r="J5" s="46"/>
      <c r="K5" s="46"/>
      <c r="L5" s="46"/>
      <c r="M5" s="46"/>
      <c r="N5" s="46"/>
      <c r="O5" s="46"/>
      <c r="P5" s="57" t="str">
        <f>IF(A5="","",SUM(H5:O5))</f>
        <v/>
      </c>
      <c r="Q5" s="46"/>
      <c r="R5" s="46"/>
      <c r="S5" s="57" t="str">
        <f>IF(A5="","",IF(R5&gt;3000,SUM(Q5:R5),Q5))</f>
        <v/>
      </c>
      <c r="T5" s="117"/>
      <c r="U5" s="45"/>
      <c r="V5" s="117"/>
      <c r="W5" s="57" t="str">
        <f>IF(A5="","",IF(AQ5="",0,IF(AQ5="0",0,IF(AQ5="3",10*(SUM(P5,S5))/100,IF(AQ5="4",IF(T5="",0,T5*15/100),IF((15*(SUM(P5,S5))/100)&gt;V5,(15*(SUM(P5,S5))/100),V5))))))</f>
        <v/>
      </c>
      <c r="X5" s="117"/>
      <c r="Y5" s="57" t="str">
        <f>IF(A5="","",ROUND(W5,2)-ROUND(X5,2))</f>
        <v/>
      </c>
      <c r="Z5" s="57" t="str">
        <f>IF(A5="","",SUM(P5,S5,T5,Y5))</f>
        <v/>
      </c>
      <c r="AA5" s="59" t="str">
        <f>IF(A5="","",IF(AND(E5="Resident",F5="Primary Employee"),30*P5/100,"0.00"))</f>
        <v/>
      </c>
      <c r="AB5" s="117"/>
      <c r="AC5" s="59" t="str">
        <f>IF(A5="","",IF(AND(E5="Resident",F5="Primary Employee"),20000,"0.00"))</f>
        <v/>
      </c>
      <c r="AD5" s="117"/>
      <c r="AE5" s="117"/>
      <c r="AF5" s="58" t="str">
        <f>IF(A5="","",IF(AB5&lt;&gt;"",IF(AA5&lt;AB5,IF(AA5&lt;AC5,AA5,AC5),IF(AB5&lt;AC5,AB5,AC5)),IF(AA5&lt;AC5,AA5,AC5))+(IF(AD5&gt;AE5,AD5,AE5)))</f>
        <v/>
      </c>
      <c r="AG5" s="58" t="str">
        <f>IF(A5="","",12500)</f>
        <v/>
      </c>
      <c r="AH5" s="58" t="str">
        <f>IF(A5="","",IF(AG5="","",ROUND(Z5,2)-ROUND(AF5,2)-ROUND(AG5,2)))</f>
        <v/>
      </c>
      <c r="AI5" s="58" t="str">
        <f>IF(A5="","",getTotalTaxPayble(AH5,F5))</f>
        <v/>
      </c>
      <c r="AJ5" s="117"/>
      <c r="AK5" s="117"/>
      <c r="AL5" s="48" t="str">
        <f>IF(A5="","",IF(AK5="", IF(AI5-AJ5&lt;0, 0, AI5-AJ5), IF(AI5-AJ5-AK5&lt;0,0,AI5-AJ5-AK5)))</f>
        <v/>
      </c>
      <c r="AM5" s="46"/>
      <c r="AN5" s="91" t="str">
        <f>IF(A5="","",IF(F5="","",ROUND(AL5,2)-ROUND(AM5,2)))</f>
        <v/>
      </c>
      <c r="AO5" s="46"/>
      <c r="AP5" s="39" t="str">
        <f>IFERROR(LOOKUP(F5,TypeOFEmp,TypeOFEmpCode),"")</f>
        <v/>
      </c>
      <c r="AQ5" s="39" t="str">
        <f>IFERROR(LOOKUP(U5,SortedTypeOfHousing,TypeOfHousingCode),"")</f>
        <v/>
      </c>
      <c r="AR5" s="39" t="str">
        <f>IFERROR(LOOKUP(C5,SortedMonthList,MonthCode),"")</f>
        <v/>
      </c>
      <c r="AS5" s="39" t="str">
        <f>IFERROR(LOOKUP(E5,SortedResidentStatus,ResidentStatusCode),"")</f>
        <v/>
      </c>
      <c r="AT5" s="39" t="str">
        <f>IF(B5="","","ADDSBEMP")</f>
        <v/>
      </c>
    </row>
    <row r="6" spans="1:46" ht="15.75" x14ac:dyDescent="0.25">
      <c r="A6" s="44" t="s">
        <v>961</v>
      </c>
      <c r="B6" s="44"/>
      <c r="C6" s="36"/>
      <c r="D6" s="87"/>
      <c r="E6" s="45"/>
      <c r="F6" s="44"/>
      <c r="G6" s="87"/>
      <c r="H6" s="46"/>
      <c r="I6" s="46"/>
      <c r="J6" s="46"/>
      <c r="K6" s="46"/>
      <c r="L6" s="46"/>
      <c r="M6" s="46"/>
      <c r="N6" s="46"/>
      <c r="O6" s="46"/>
      <c r="P6" s="58" t="str">
        <f>IF(A6="","",SUM(H6:O6))</f>
        <v/>
      </c>
      <c r="Q6" s="46"/>
      <c r="R6" s="46"/>
      <c r="S6" s="58" t="str">
        <f>IF(A6="","",IF(R6&gt;3000,SUM(Q6:R6),Q6))</f>
        <v/>
      </c>
      <c r="T6" s="117"/>
      <c r="U6" s="45"/>
      <c r="V6" s="117"/>
      <c r="W6" s="57" t="str">
        <f>IF(A6="","",IF(AQ6="",0,IF(AQ6="0",0,IF(AQ6="3",10*(SUM(P6,S6))/100,IF(AQ6="4",IF(T6="",0,T6*15/100),IF((15*(SUM(P6,S6))/100)&gt;V6,(15*(SUM(P6,S6))/100),V6))))))</f>
        <v/>
      </c>
      <c r="X6" s="117"/>
      <c r="Y6" s="57" t="str">
        <f>IF(A6="","",ROUND(W6,2)-ROUND(X6,2))</f>
        <v/>
      </c>
      <c r="Z6" s="57" t="str">
        <f>IF(A6="","",SUM(P6,S6,T6,Y6))</f>
        <v/>
      </c>
      <c r="AA6" s="48" t="str">
        <f>IF(A6="","",IF(AND(E6="Resident",F6="Primary Employee"),30*P6/100,"0.00"))</f>
        <v/>
      </c>
      <c r="AB6" s="117"/>
      <c r="AC6" s="48" t="str">
        <f>IF(A6="","",IF(AND(E6="Resident",F6="Primary Employee"),20000,"0.00"))</f>
        <v/>
      </c>
      <c r="AD6" s="117"/>
      <c r="AE6" s="117"/>
      <c r="AF6" s="58" t="str">
        <f>IF(A6="","",IF(AB6&lt;&gt;"",IF(AA6&lt;AB6,IF(AA6&lt;AC6,AA6,AC6),IF(AB6&lt;AC6,AB6,AC6)),IF(AA6&lt;AC6,AA6,AC6))+(IF(AD6&gt;AE6,AD6,AE6)))</f>
        <v/>
      </c>
      <c r="AG6" s="58" t="str">
        <f>IF(A6="","",12500)</f>
        <v/>
      </c>
      <c r="AH6" s="58" t="str">
        <f>IF(A6="","",IF(AG6="","",ROUND(Z6,2)-ROUND(AF6,2)-ROUND(AG6,2)))</f>
        <v/>
      </c>
      <c r="AI6" s="58" t="str">
        <f>IF(A6="","",getTotalTaxPayble(AH6,F6))</f>
        <v/>
      </c>
      <c r="AJ6" s="117"/>
      <c r="AK6" s="117"/>
      <c r="AL6" s="48" t="str">
        <f>IF(A6="","",IF(AK6="", IF(AI6-AJ6&lt;0, 0, AI6-AJ6), IF(AI6-AJ6-AK6&lt;0,0,AI6-AJ6-AK6)))</f>
        <v/>
      </c>
      <c r="AM6" s="46"/>
      <c r="AN6" s="92" t="str">
        <f>IF(A6="","",IF(F6="","",ROUND(AL6,2)-ROUND(AM6,2)))</f>
        <v/>
      </c>
      <c r="AO6" s="46"/>
      <c r="AP6" s="39" t="str">
        <f>IFERROR(LOOKUP(F6,TypeOFEmp,TypeOFEmpCode),"")</f>
        <v/>
      </c>
      <c r="AQ6" s="39" t="str">
        <f>IFERROR(LOOKUP(U6,SortedTypeOfHousing,TypeOfHousingCode),"")</f>
        <v/>
      </c>
      <c r="AR6" s="39" t="str">
        <f>IFERROR(LOOKUP(C6,SortedMonthList,MonthCode),"")</f>
        <v/>
      </c>
      <c r="AS6" s="39" t="str">
        <f>IFERROR(LOOKUP(E6,SortedResidentStatus,ResidentStatusCode),"")</f>
        <v/>
      </c>
      <c r="AT6" s="39" t="str">
        <f>IF(B6="","","ADDSBEMP")</f>
        <v/>
      </c>
    </row>
    <row r="7" spans="1:46" ht="17.25" customHeight="1" x14ac:dyDescent="0.3">
      <c r="A7" s="239" t="s">
        <v>897</v>
      </c>
      <c r="B7" s="239"/>
      <c r="C7" s="239"/>
      <c r="D7" s="239"/>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c r="AN7" s="93">
        <f ca="1">SUM(AN5:OFFSET(DtlsArrSalPdBftsPayeDedFrmDsblEmpListTO,-1,0))</f>
        <v>0</v>
      </c>
      <c r="AO7" s="88">
        <f ca="1">SUM(AO5:OFFSET(DtlsArrSalPdBftsPayeSelfPayeListTO,-1,0))</f>
        <v>0</v>
      </c>
      <c r="AP7" s="39"/>
      <c r="AQ7" s="39"/>
      <c r="AR7" s="39"/>
      <c r="AS7" s="39"/>
      <c r="AT7" s="39"/>
    </row>
    <row r="8" spans="1:46"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row>
    <row r="9" spans="1:46"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row>
    <row r="10" spans="1:46" hidden="1" x14ac:dyDescent="0.25"/>
    <row r="11" spans="1:46" hidden="1" x14ac:dyDescent="0.25"/>
  </sheetData>
  <sheetProtection password="94AB" sheet="1" objects="1" scenarios="1" selectLockedCells="1"/>
  <mergeCells count="12">
    <mergeCell ref="AG2:AO3"/>
    <mergeCell ref="AA3:AC3"/>
    <mergeCell ref="AD3:AF3"/>
    <mergeCell ref="A7:AM7"/>
    <mergeCell ref="A1:AO1"/>
    <mergeCell ref="A2:G3"/>
    <mergeCell ref="H2:P3"/>
    <mergeCell ref="Q2:S3"/>
    <mergeCell ref="T2:T3"/>
    <mergeCell ref="U2:Y3"/>
    <mergeCell ref="Z2:Z3"/>
    <mergeCell ref="AA2:AF2"/>
  </mergeCells>
  <dataValidations xWindow="1149" yWindow="573" count="10">
    <dataValidation type="decimal" allowBlank="1" showInputMessage="1" showErrorMessage="1" errorTitle="Data Error:" error="Please enter positive numeric value of length less than or equal to 15 digit." promptTitle="Numeric:" prompt="Enter numeric value of length less than or equal to 15 digit." sqref="H5:O6 AO5:AO6 AM5:AM6 AJ5:AK6 AD5:AE6 AB5:AB6 X5:X6 V5:V6 T5:T6 R5:R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G5:G6">
      <formula1>20</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Q5:Q6">
      <formula1>0</formula1>
      <formula2>999999999999999</formula2>
    </dataValidation>
    <dataValidation type="list" allowBlank="1" showInputMessage="1" showErrorMessage="1" errorTitle="Data Error:" error="Please select data from DropDown Only." promptTitle="List:" prompt="Select data from DropDown List. _x000a_" sqref="U5:U6">
      <formula1>TypeOfHousing</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65618"/>
  <sheetViews>
    <sheetView zoomScaleNormal="100" workbookViewId="0">
      <selection activeCell="A3" sqref="A3"/>
    </sheetView>
  </sheetViews>
  <sheetFormatPr defaultColWidth="0" defaultRowHeight="15" zeroHeight="1" x14ac:dyDescent="0.25"/>
  <cols>
    <col min="1" max="8" width="27.7109375" customWidth="1"/>
    <col min="9" max="11" width="7.140625" style="120" customWidth="1"/>
  </cols>
  <sheetData>
    <row r="1" spans="1:12" ht="33.75" customHeight="1" x14ac:dyDescent="0.25">
      <c r="A1" s="240" t="s">
        <v>829</v>
      </c>
      <c r="B1" s="240"/>
      <c r="C1" s="240"/>
      <c r="D1" s="240"/>
      <c r="E1" s="240"/>
      <c r="F1" s="240"/>
      <c r="G1" s="240"/>
      <c r="H1" s="240"/>
      <c r="I1" s="118"/>
      <c r="J1" s="118"/>
      <c r="K1" s="118"/>
    </row>
    <row r="2" spans="1:12" ht="33" x14ac:dyDescent="0.25">
      <c r="A2" s="55" t="s">
        <v>407</v>
      </c>
      <c r="B2" s="55" t="s">
        <v>408</v>
      </c>
      <c r="C2" s="55" t="s">
        <v>825</v>
      </c>
      <c r="D2" s="55" t="s">
        <v>826</v>
      </c>
      <c r="E2" s="55" t="s">
        <v>1147</v>
      </c>
      <c r="F2" s="55" t="s">
        <v>827</v>
      </c>
      <c r="G2" s="55" t="s">
        <v>828</v>
      </c>
      <c r="H2" s="53" t="s">
        <v>930</v>
      </c>
      <c r="I2" s="118"/>
      <c r="J2" s="118"/>
      <c r="K2" s="118"/>
    </row>
    <row r="3" spans="1:12" ht="15.75" x14ac:dyDescent="0.25">
      <c r="A3" s="44"/>
      <c r="B3" s="44"/>
      <c r="C3" s="36"/>
      <c r="D3" s="87"/>
      <c r="E3" s="87"/>
      <c r="F3" s="94"/>
      <c r="G3" s="46"/>
      <c r="H3" s="58" t="str">
        <f>IF(A3="","",SUMIF(GratuityPIN,A3,TaxPayable))</f>
        <v/>
      </c>
      <c r="I3" s="118" t="str">
        <f>IFERROR(LOOKUP(C3,SortedMonthList,MonthCode),"")</f>
        <v/>
      </c>
      <c r="J3" s="119" t="str">
        <f>IF(OR(A3&lt;&gt;"",B3&lt;&gt;"",C3&lt;&gt;"",D3&lt;&gt;"",E3&lt;&gt;"",F3&lt;&gt;"",G3&lt;&gt;""),ROW(A3)-2,"")</f>
        <v/>
      </c>
      <c r="K3" s="118"/>
      <c r="L3" s="95"/>
    </row>
    <row r="4" spans="1:12" ht="15.75" x14ac:dyDescent="0.25">
      <c r="A4" s="44"/>
      <c r="B4" s="44"/>
      <c r="C4" s="36"/>
      <c r="D4" s="87"/>
      <c r="E4" s="87"/>
      <c r="F4" s="94"/>
      <c r="G4" s="46"/>
      <c r="H4" s="58" t="str">
        <f>IF(A4="","",SUMIF(GratuityPIN,A4,TaxPayable))</f>
        <v/>
      </c>
      <c r="I4" s="118" t="str">
        <f>IFERROR(LOOKUP(C4,SortedMonthList,MonthCode),"")</f>
        <v/>
      </c>
      <c r="J4" s="119" t="str">
        <f>IF(OR(A4&lt;&gt;"",B4&lt;&gt;"",C4&lt;&gt;"",D4&lt;&gt;"",E4&lt;&gt;"",F4&lt;&gt;"",G4&lt;&gt;""),ROW(A4)-2,"")</f>
        <v/>
      </c>
      <c r="K4" s="118"/>
      <c r="L4" s="95"/>
    </row>
    <row r="5" spans="1:12" ht="18" customHeight="1" x14ac:dyDescent="0.3">
      <c r="A5" s="241" t="s">
        <v>897</v>
      </c>
      <c r="B5" s="241"/>
      <c r="C5" s="241"/>
      <c r="D5" s="241"/>
      <c r="E5" s="241"/>
      <c r="F5" s="241"/>
      <c r="G5" s="241"/>
      <c r="H5" s="96">
        <f ca="1">SUM(H3:OFFSET(CalPayeTaxPyblOnGratIListTO,-1,0))</f>
        <v>0</v>
      </c>
      <c r="I5" s="118"/>
      <c r="J5" s="118"/>
      <c r="K5" s="118"/>
      <c r="L5" s="95"/>
    </row>
    <row r="6" spans="1:12" s="200" customFormat="1" ht="37.5" customHeight="1" x14ac:dyDescent="0.25">
      <c r="A6" s="39"/>
      <c r="B6" s="39"/>
      <c r="C6" s="39"/>
      <c r="D6" s="39"/>
      <c r="E6" s="39"/>
      <c r="F6" s="39"/>
      <c r="G6" s="39"/>
      <c r="H6" s="39"/>
      <c r="I6" s="118"/>
      <c r="J6" s="118"/>
      <c r="K6" s="118"/>
      <c r="L6" s="199"/>
    </row>
    <row r="7" spans="1:12" s="200" customFormat="1" ht="37.5" customHeight="1" x14ac:dyDescent="0.25">
      <c r="A7" s="39"/>
      <c r="B7" s="39"/>
      <c r="C7" s="39"/>
      <c r="D7" s="39"/>
      <c r="E7" s="39"/>
      <c r="F7" s="39"/>
      <c r="G7" s="39"/>
      <c r="H7" s="39"/>
      <c r="I7" s="118"/>
      <c r="J7" s="118"/>
      <c r="K7" s="118"/>
      <c r="L7" s="199"/>
    </row>
    <row r="8" spans="1:12" s="200" customFormat="1" ht="33.75" customHeight="1" x14ac:dyDescent="0.25">
      <c r="A8" s="242" t="s">
        <v>931</v>
      </c>
      <c r="B8" s="242"/>
      <c r="C8" s="242"/>
      <c r="D8" s="242"/>
      <c r="E8" s="242"/>
      <c r="F8" s="242"/>
      <c r="G8" s="242"/>
      <c r="H8" s="242"/>
      <c r="I8" s="118"/>
      <c r="J8" s="118"/>
      <c r="K8" s="118"/>
      <c r="L8" s="199"/>
    </row>
    <row r="9" spans="1:12" s="200" customFormat="1" ht="48.75" customHeight="1" x14ac:dyDescent="0.25">
      <c r="A9" s="55" t="s">
        <v>407</v>
      </c>
      <c r="B9" s="55" t="s">
        <v>932</v>
      </c>
      <c r="C9" s="55" t="s">
        <v>933</v>
      </c>
      <c r="D9" s="55" t="s">
        <v>1137</v>
      </c>
      <c r="E9" s="55" t="s">
        <v>934</v>
      </c>
      <c r="F9" s="55" t="s">
        <v>935</v>
      </c>
      <c r="G9" s="55" t="s">
        <v>1136</v>
      </c>
      <c r="H9" s="55" t="s">
        <v>936</v>
      </c>
      <c r="I9" s="118"/>
      <c r="J9" s="118"/>
      <c r="K9" s="201" t="s">
        <v>1128</v>
      </c>
      <c r="L9" s="199"/>
    </row>
    <row r="10" spans="1:12" s="200" customFormat="1" ht="15.75" x14ac:dyDescent="0.25">
      <c r="A10" s="58" t="str">
        <f>IF(I10="","",IFERROR(INDEX(CalPayeTaxPyblOnGratI.List,MATCH(I10,PINSrNo,0),1),0))</f>
        <v/>
      </c>
      <c r="B10" s="97"/>
      <c r="C10" s="58"/>
      <c r="D10" s="46"/>
      <c r="E10" s="58" t="str">
        <f t="shared" ref="E10" si="0">IF(A10="","",SUM(C10,D10))</f>
        <v/>
      </c>
      <c r="F10" s="58" t="str">
        <f>IF(A10="","",getTaxPayableFromYear(B10,E10))</f>
        <v/>
      </c>
      <c r="G10" s="46"/>
      <c r="H10" s="58" t="str">
        <f t="shared" ref="H10" si="1">IF(A10="","",IF(F10-G10&lt;0,0,F10-G10))</f>
        <v/>
      </c>
      <c r="I10" s="118"/>
      <c r="J10" s="118"/>
      <c r="K10" s="118" t="str">
        <f t="shared" ref="K10" si="2">IF(AND(A10="",OR(D10&lt;&gt;"",G10&lt;&gt;"")),IF(AND(D10&lt;&gt;"",G10&lt;&gt;""),"DG",IF(D10&lt;&gt;"","D","G")),"")</f>
        <v/>
      </c>
      <c r="L10" s="199"/>
    </row>
    <row r="11" spans="1:12" s="200" customFormat="1" ht="15.75" x14ac:dyDescent="0.25">
      <c r="A11" s="58" t="str">
        <f>IF(I11="","",IFERROR(INDEX(CalPayeTaxPyblOnGratI.List,MATCH(I11,PINSrNo,0),1),0))</f>
        <v/>
      </c>
      <c r="B11" s="97"/>
      <c r="C11" s="58"/>
      <c r="D11" s="46"/>
      <c r="E11" s="58" t="str">
        <f t="shared" ref="E11" si="3">IF(A11="","",SUM(C11,D11))</f>
        <v/>
      </c>
      <c r="F11" s="58" t="str">
        <f>IF(A11="","",getTaxPayableFromYear(B11,E11))</f>
        <v/>
      </c>
      <c r="G11" s="46"/>
      <c r="H11" s="58" t="str">
        <f t="shared" ref="H11" si="4">IF(A11="","",IF(F11-G11&lt;0,0,F11-G11))</f>
        <v/>
      </c>
      <c r="I11" s="118"/>
      <c r="J11" s="118"/>
      <c r="K11" s="118" t="str">
        <f t="shared" ref="K11" si="5">IF(AND(A11="",OR(D11&lt;&gt;"",G11&lt;&gt;"")),IF(AND(D11&lt;&gt;"",G11&lt;&gt;""),"DG",IF(D11&lt;&gt;"","D","G")),"")</f>
        <v/>
      </c>
      <c r="L11" s="199"/>
    </row>
    <row r="12" spans="1:12" s="211" customFormat="1" ht="30" customHeight="1" x14ac:dyDescent="0.25">
      <c r="I12" s="212"/>
      <c r="J12" s="212"/>
      <c r="K12" s="212"/>
    </row>
    <row r="13" spans="1:12" s="211" customFormat="1" ht="41.25" customHeight="1" x14ac:dyDescent="0.25">
      <c r="I13" s="212"/>
      <c r="J13" s="212"/>
      <c r="K13" s="212"/>
    </row>
    <row r="14" spans="1:12" hidden="1" x14ac:dyDescent="0.25"/>
    <row r="15" spans="1:12" hidden="1" x14ac:dyDescent="0.25"/>
    <row r="16" spans="1:12"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idden="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idden="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idden="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idden="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idden="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idden="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idden="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idden="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idden="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idden="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idden="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idden="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idden="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idden="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idden="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idden="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idden="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idden="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idden="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idden="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idden="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idden="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idden="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idden="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idden="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idden="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idden="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idden="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idden="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idden="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idden="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idden="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idden="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idden="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idden="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idden="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idden="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idden="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idden="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idden="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idden="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idden="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idden="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idden="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idden="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idden="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idden="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idden="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idden="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idden="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idden="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idden="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idden="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idden="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idden="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idden="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idden="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idden="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idden="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idden="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idden="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idden="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idden="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idden="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idden="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idden="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idden="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idden="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idden="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idden="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idden="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idden="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idden="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idden="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idden="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idden="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idden="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idden="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idden="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idden="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idden="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idden="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idden="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idden="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idden="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idden="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idden="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idden="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idden="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idden="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idden="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idden="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idden="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idden="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idden="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idden="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idden="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idden="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idden="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idden="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idden="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idden="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idden="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idden="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idden="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idden="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idden="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idden="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idden="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idden="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idden="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idden="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idden="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idden="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idden="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idden="1" x14ac:dyDescent="0.25"/>
    <row r="50190" hidden="1" x14ac:dyDescent="0.25"/>
    <row r="50191" hidden="1" x14ac:dyDescent="0.25"/>
    <row r="50192" hidden="1" x14ac:dyDescent="0.25"/>
    <row r="50193" hidden="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idden="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idden="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idden="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idden="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idden="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idden="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idden="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idden="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idden="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idden="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idden="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idden="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idden="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idden="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idden="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idden="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idden="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idden="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idden="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idden="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idden="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idden="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idden="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idden="1" x14ac:dyDescent="0.25"/>
    <row r="57896" hidden="1" x14ac:dyDescent="0.25"/>
    <row r="57897" hidden="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idden="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idden="1" x14ac:dyDescent="0.25"/>
    <row r="58219" hidden="1" x14ac:dyDescent="0.25"/>
    <row r="58220" hidden="1" x14ac:dyDescent="0.25"/>
    <row r="58221" hidden="1" x14ac:dyDescent="0.25"/>
    <row r="58222" hidden="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idden="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idden="1" x14ac:dyDescent="0.25"/>
    <row r="58497" hidden="1" x14ac:dyDescent="0.25"/>
    <row r="58498" hidden="1" x14ac:dyDescent="0.25"/>
    <row r="58499" hidden="1" x14ac:dyDescent="0.25"/>
    <row r="58500" hidden="1" x14ac:dyDescent="0.25"/>
    <row r="58501" hidden="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idden="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idden="1" x14ac:dyDescent="0.25"/>
    <row r="58775" hidden="1" x14ac:dyDescent="0.25"/>
    <row r="58776" hidden="1" x14ac:dyDescent="0.25"/>
    <row r="58777" hidden="1" x14ac:dyDescent="0.25"/>
    <row r="58778" hidden="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idden="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idden="1" x14ac:dyDescent="0.25"/>
    <row r="59152" hidden="1" x14ac:dyDescent="0.25"/>
    <row r="59153" hidden="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idden="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idden="1" x14ac:dyDescent="0.25"/>
    <row r="59510" hidden="1" x14ac:dyDescent="0.25"/>
    <row r="59511" hidden="1" x14ac:dyDescent="0.25"/>
    <row r="59512" hidden="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idden="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idden="1" x14ac:dyDescent="0.25"/>
    <row r="59930" hidden="1" x14ac:dyDescent="0.25"/>
    <row r="59931" hidden="1" x14ac:dyDescent="0.25"/>
    <row r="59932" hidden="1" x14ac:dyDescent="0.25"/>
    <row r="59933" hidden="1" x14ac:dyDescent="0.25"/>
    <row r="59934" hidden="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idden="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idden="1" x14ac:dyDescent="0.25"/>
    <row r="60272" hidden="1" x14ac:dyDescent="0.25"/>
    <row r="60273" hidden="1" x14ac:dyDescent="0.25"/>
    <row r="60274" hidden="1" x14ac:dyDescent="0.25"/>
    <row r="60275" hidden="1" x14ac:dyDescent="0.25"/>
    <row r="60276" hidden="1" x14ac:dyDescent="0.25"/>
    <row r="60277" hidden="1" x14ac:dyDescent="0.25"/>
    <row r="60278" hidden="1" x14ac:dyDescent="0.25"/>
    <row r="60279" hidden="1" x14ac:dyDescent="0.25"/>
    <row r="60280" hidden="1" x14ac:dyDescent="0.25"/>
    <row r="60281" hidden="1" x14ac:dyDescent="0.25"/>
    <row r="60282" hidden="1" x14ac:dyDescent="0.25"/>
    <row r="60283" hidden="1" x14ac:dyDescent="0.25"/>
    <row r="60284" hidden="1" x14ac:dyDescent="0.25"/>
    <row r="60285" hidden="1" x14ac:dyDescent="0.25"/>
    <row r="60286" hidden="1" x14ac:dyDescent="0.25"/>
    <row r="60287" hidden="1" x14ac:dyDescent="0.25"/>
    <row r="60288" hidden="1" x14ac:dyDescent="0.25"/>
    <row r="60289" hidden="1" x14ac:dyDescent="0.25"/>
    <row r="60290" hidden="1" x14ac:dyDescent="0.25"/>
    <row r="60291" hidden="1" x14ac:dyDescent="0.25"/>
    <row r="60292" hidden="1" x14ac:dyDescent="0.25"/>
    <row r="60293" hidden="1" x14ac:dyDescent="0.25"/>
    <row r="60294" hidden="1" x14ac:dyDescent="0.25"/>
    <row r="60295" hidden="1" x14ac:dyDescent="0.25"/>
    <row r="60296" hidden="1" x14ac:dyDescent="0.25"/>
    <row r="60297" hidden="1" x14ac:dyDescent="0.25"/>
    <row r="60298" hidden="1" x14ac:dyDescent="0.25"/>
    <row r="60299" hidden="1" x14ac:dyDescent="0.25"/>
    <row r="60300" hidden="1" x14ac:dyDescent="0.25"/>
    <row r="60301" hidden="1" x14ac:dyDescent="0.25"/>
    <row r="60302" hidden="1" x14ac:dyDescent="0.25"/>
    <row r="60303" hidden="1" x14ac:dyDescent="0.25"/>
    <row r="60304" hidden="1" x14ac:dyDescent="0.25"/>
    <row r="60305" hidden="1" x14ac:dyDescent="0.25"/>
    <row r="60306" hidden="1" x14ac:dyDescent="0.25"/>
    <row r="60307" hidden="1" x14ac:dyDescent="0.25"/>
    <row r="60308" hidden="1" x14ac:dyDescent="0.25"/>
    <row r="60309" hidden="1" x14ac:dyDescent="0.25"/>
    <row r="60310" hidden="1" x14ac:dyDescent="0.25"/>
    <row r="60311" hidden="1" x14ac:dyDescent="0.25"/>
    <row r="60312" hidden="1" x14ac:dyDescent="0.25"/>
    <row r="60313" hidden="1" x14ac:dyDescent="0.25"/>
    <row r="60314" hidden="1" x14ac:dyDescent="0.25"/>
    <row r="60315" hidden="1" x14ac:dyDescent="0.25"/>
    <row r="60316" hidden="1" x14ac:dyDescent="0.25"/>
    <row r="60317" hidden="1" x14ac:dyDescent="0.25"/>
    <row r="60318" hidden="1" x14ac:dyDescent="0.25"/>
    <row r="60319" hidden="1" x14ac:dyDescent="0.25"/>
    <row r="60320" hidden="1" x14ac:dyDescent="0.25"/>
    <row r="60321" hidden="1" x14ac:dyDescent="0.25"/>
    <row r="60322" hidden="1" x14ac:dyDescent="0.25"/>
    <row r="60323" hidden="1" x14ac:dyDescent="0.25"/>
    <row r="60324" hidden="1" x14ac:dyDescent="0.25"/>
    <row r="60325" hidden="1" x14ac:dyDescent="0.25"/>
    <row r="60326" hidden="1" x14ac:dyDescent="0.25"/>
    <row r="60327" hidden="1" x14ac:dyDescent="0.25"/>
    <row r="60328" hidden="1" x14ac:dyDescent="0.25"/>
    <row r="60329" hidden="1" x14ac:dyDescent="0.25"/>
    <row r="60330" hidden="1" x14ac:dyDescent="0.25"/>
    <row r="60331" hidden="1" x14ac:dyDescent="0.25"/>
    <row r="60332" hidden="1" x14ac:dyDescent="0.25"/>
    <row r="60333" hidden="1" x14ac:dyDescent="0.25"/>
    <row r="60334" hidden="1" x14ac:dyDescent="0.25"/>
    <row r="60335" hidden="1" x14ac:dyDescent="0.25"/>
    <row r="60336" hidden="1" x14ac:dyDescent="0.25"/>
    <row r="60337" hidden="1" x14ac:dyDescent="0.25"/>
    <row r="60338" hidden="1" x14ac:dyDescent="0.25"/>
    <row r="60339" hidden="1" x14ac:dyDescent="0.25"/>
    <row r="60340" hidden="1" x14ac:dyDescent="0.25"/>
    <row r="60341" hidden="1" x14ac:dyDescent="0.25"/>
    <row r="60342" hidden="1" x14ac:dyDescent="0.25"/>
    <row r="60343" hidden="1" x14ac:dyDescent="0.25"/>
    <row r="60344" hidden="1" x14ac:dyDescent="0.25"/>
    <row r="60345" hidden="1" x14ac:dyDescent="0.25"/>
    <row r="60346" hidden="1" x14ac:dyDescent="0.25"/>
    <row r="60347" hidden="1" x14ac:dyDescent="0.25"/>
    <row r="60348" hidden="1" x14ac:dyDescent="0.25"/>
    <row r="60349" hidden="1" x14ac:dyDescent="0.25"/>
    <row r="60350" hidden="1" x14ac:dyDescent="0.25"/>
    <row r="60351" hidden="1" x14ac:dyDescent="0.25"/>
    <row r="60352" hidden="1" x14ac:dyDescent="0.25"/>
    <row r="60353" hidden="1" x14ac:dyDescent="0.25"/>
    <row r="60354" hidden="1" x14ac:dyDescent="0.25"/>
    <row r="60355" hidden="1" x14ac:dyDescent="0.25"/>
    <row r="60356" hidden="1" x14ac:dyDescent="0.25"/>
    <row r="60357" hidden="1" x14ac:dyDescent="0.25"/>
    <row r="60358" hidden="1" x14ac:dyDescent="0.25"/>
    <row r="60359" hidden="1" x14ac:dyDescent="0.25"/>
    <row r="60360" hidden="1" x14ac:dyDescent="0.25"/>
    <row r="60361" hidden="1" x14ac:dyDescent="0.25"/>
    <row r="60362" hidden="1" x14ac:dyDescent="0.25"/>
    <row r="60363" hidden="1" x14ac:dyDescent="0.25"/>
    <row r="60364" hidden="1" x14ac:dyDescent="0.25"/>
    <row r="60365" hidden="1" x14ac:dyDescent="0.25"/>
    <row r="60366" hidden="1" x14ac:dyDescent="0.25"/>
    <row r="60367" hidden="1" x14ac:dyDescent="0.25"/>
    <row r="60368" hidden="1" x14ac:dyDescent="0.25"/>
    <row r="60369" hidden="1" x14ac:dyDescent="0.25"/>
    <row r="60370" hidden="1" x14ac:dyDescent="0.25"/>
    <row r="60371" hidden="1" x14ac:dyDescent="0.25"/>
    <row r="60372" hidden="1" x14ac:dyDescent="0.25"/>
    <row r="60373" hidden="1" x14ac:dyDescent="0.25"/>
    <row r="60374" hidden="1" x14ac:dyDescent="0.25"/>
    <row r="60375" hidden="1" x14ac:dyDescent="0.25"/>
    <row r="60376" hidden="1" x14ac:dyDescent="0.25"/>
    <row r="60377" hidden="1" x14ac:dyDescent="0.25"/>
    <row r="60378" hidden="1" x14ac:dyDescent="0.25"/>
    <row r="60379" hidden="1" x14ac:dyDescent="0.25"/>
    <row r="60380" hidden="1" x14ac:dyDescent="0.25"/>
    <row r="60381" hidden="1" x14ac:dyDescent="0.25"/>
    <row r="60382" hidden="1" x14ac:dyDescent="0.25"/>
    <row r="60383" hidden="1" x14ac:dyDescent="0.25"/>
    <row r="60384" hidden="1" x14ac:dyDescent="0.25"/>
    <row r="60385" hidden="1" x14ac:dyDescent="0.25"/>
    <row r="60386" hidden="1" x14ac:dyDescent="0.25"/>
    <row r="60387" hidden="1" x14ac:dyDescent="0.25"/>
    <row r="60388" hidden="1" x14ac:dyDescent="0.25"/>
    <row r="60389" hidden="1" x14ac:dyDescent="0.25"/>
    <row r="60390" hidden="1" x14ac:dyDescent="0.25"/>
    <row r="60391" hidden="1" x14ac:dyDescent="0.25"/>
    <row r="60392" hidden="1" x14ac:dyDescent="0.25"/>
    <row r="60393" hidden="1" x14ac:dyDescent="0.25"/>
    <row r="60394" hidden="1" x14ac:dyDescent="0.25"/>
    <row r="60395" hidden="1" x14ac:dyDescent="0.25"/>
    <row r="60396" hidden="1" x14ac:dyDescent="0.25"/>
    <row r="60397" hidden="1" x14ac:dyDescent="0.25"/>
    <row r="60398" hidden="1" x14ac:dyDescent="0.25"/>
    <row r="60399" hidden="1" x14ac:dyDescent="0.25"/>
    <row r="60400" hidden="1" x14ac:dyDescent="0.25"/>
    <row r="60401" hidden="1" x14ac:dyDescent="0.25"/>
    <row r="60402" hidden="1" x14ac:dyDescent="0.25"/>
    <row r="60403" hidden="1" x14ac:dyDescent="0.25"/>
    <row r="60404" hidden="1" x14ac:dyDescent="0.25"/>
    <row r="60405" hidden="1" x14ac:dyDescent="0.25"/>
    <row r="60406" hidden="1" x14ac:dyDescent="0.25"/>
    <row r="60407" hidden="1" x14ac:dyDescent="0.25"/>
    <row r="60408" hidden="1" x14ac:dyDescent="0.25"/>
    <row r="60409" hidden="1" x14ac:dyDescent="0.25"/>
    <row r="60410" hidden="1" x14ac:dyDescent="0.25"/>
    <row r="60411" hidden="1" x14ac:dyDescent="0.25"/>
    <row r="60412" hidden="1" x14ac:dyDescent="0.25"/>
    <row r="60413" hidden="1" x14ac:dyDescent="0.25"/>
    <row r="60414" hidden="1" x14ac:dyDescent="0.25"/>
    <row r="60415" hidden="1" x14ac:dyDescent="0.25"/>
    <row r="60416" hidden="1" x14ac:dyDescent="0.25"/>
    <row r="60417" hidden="1" x14ac:dyDescent="0.25"/>
    <row r="60418" hidden="1" x14ac:dyDescent="0.25"/>
    <row r="60419" hidden="1" x14ac:dyDescent="0.25"/>
    <row r="60420" hidden="1" x14ac:dyDescent="0.25"/>
    <row r="60421" hidden="1" x14ac:dyDescent="0.25"/>
    <row r="60422" hidden="1" x14ac:dyDescent="0.25"/>
    <row r="60423" hidden="1" x14ac:dyDescent="0.25"/>
    <row r="60424" hidden="1" x14ac:dyDescent="0.25"/>
    <row r="60425" hidden="1" x14ac:dyDescent="0.25"/>
    <row r="60426" hidden="1" x14ac:dyDescent="0.25"/>
    <row r="60427" hidden="1" x14ac:dyDescent="0.25"/>
    <row r="60428" hidden="1" x14ac:dyDescent="0.25"/>
    <row r="60429" hidden="1" x14ac:dyDescent="0.25"/>
    <row r="60430" hidden="1" x14ac:dyDescent="0.25"/>
    <row r="60431" hidden="1" x14ac:dyDescent="0.25"/>
    <row r="60432" hidden="1" x14ac:dyDescent="0.25"/>
    <row r="60433" hidden="1" x14ac:dyDescent="0.25"/>
    <row r="60434" hidden="1" x14ac:dyDescent="0.25"/>
    <row r="60435" hidden="1" x14ac:dyDescent="0.25"/>
    <row r="60436" hidden="1" x14ac:dyDescent="0.25"/>
    <row r="60437" hidden="1" x14ac:dyDescent="0.25"/>
    <row r="60438" hidden="1" x14ac:dyDescent="0.25"/>
    <row r="60439" hidden="1" x14ac:dyDescent="0.25"/>
    <row r="60440" hidden="1" x14ac:dyDescent="0.25"/>
    <row r="60441" hidden="1" x14ac:dyDescent="0.25"/>
    <row r="60442" hidden="1" x14ac:dyDescent="0.25"/>
    <row r="60443" hidden="1" x14ac:dyDescent="0.25"/>
    <row r="60444" hidden="1" x14ac:dyDescent="0.25"/>
    <row r="60445" hidden="1" x14ac:dyDescent="0.25"/>
    <row r="60446" hidden="1" x14ac:dyDescent="0.25"/>
    <row r="60447" hidden="1" x14ac:dyDescent="0.25"/>
    <row r="60448" hidden="1" x14ac:dyDescent="0.25"/>
    <row r="60449" hidden="1" x14ac:dyDescent="0.25"/>
    <row r="60450" hidden="1" x14ac:dyDescent="0.25"/>
    <row r="60451" hidden="1" x14ac:dyDescent="0.25"/>
    <row r="60452" hidden="1" x14ac:dyDescent="0.25"/>
    <row r="60453" hidden="1" x14ac:dyDescent="0.25"/>
    <row r="60454" hidden="1" x14ac:dyDescent="0.25"/>
    <row r="60455" hidden="1" x14ac:dyDescent="0.25"/>
    <row r="60456" hidden="1" x14ac:dyDescent="0.25"/>
    <row r="60457" hidden="1" x14ac:dyDescent="0.25"/>
    <row r="60458" hidden="1" x14ac:dyDescent="0.25"/>
    <row r="60459" hidden="1" x14ac:dyDescent="0.25"/>
    <row r="60460" hidden="1" x14ac:dyDescent="0.25"/>
    <row r="60461" hidden="1" x14ac:dyDescent="0.25"/>
    <row r="60462" hidden="1" x14ac:dyDescent="0.25"/>
    <row r="60463" hidden="1" x14ac:dyDescent="0.25"/>
    <row r="60464" hidden="1" x14ac:dyDescent="0.25"/>
    <row r="60465" hidden="1" x14ac:dyDescent="0.25"/>
    <row r="60466" hidden="1" x14ac:dyDescent="0.25"/>
    <row r="60467" hidden="1" x14ac:dyDescent="0.25"/>
    <row r="60468" hidden="1" x14ac:dyDescent="0.25"/>
    <row r="60469" hidden="1" x14ac:dyDescent="0.25"/>
    <row r="60470" hidden="1" x14ac:dyDescent="0.25"/>
    <row r="60471" hidden="1" x14ac:dyDescent="0.25"/>
    <row r="60472" hidden="1" x14ac:dyDescent="0.25"/>
    <row r="60473" hidden="1" x14ac:dyDescent="0.25"/>
    <row r="60474" hidden="1" x14ac:dyDescent="0.25"/>
    <row r="60475" hidden="1" x14ac:dyDescent="0.25"/>
    <row r="60476" hidden="1" x14ac:dyDescent="0.25"/>
    <row r="60477" hidden="1" x14ac:dyDescent="0.25"/>
    <row r="60478" hidden="1" x14ac:dyDescent="0.25"/>
    <row r="60479" hidden="1" x14ac:dyDescent="0.25"/>
    <row r="60480" hidden="1" x14ac:dyDescent="0.25"/>
    <row r="60481" hidden="1" x14ac:dyDescent="0.25"/>
    <row r="60482" hidden="1" x14ac:dyDescent="0.25"/>
    <row r="60483" hidden="1" x14ac:dyDescent="0.25"/>
    <row r="60484" hidden="1" x14ac:dyDescent="0.25"/>
    <row r="60485" hidden="1" x14ac:dyDescent="0.25"/>
    <row r="60486" hidden="1" x14ac:dyDescent="0.25"/>
    <row r="60487" hidden="1" x14ac:dyDescent="0.25"/>
    <row r="60488" hidden="1" x14ac:dyDescent="0.25"/>
    <row r="60489" hidden="1" x14ac:dyDescent="0.25"/>
    <row r="60490" hidden="1" x14ac:dyDescent="0.25"/>
    <row r="60491" hidden="1" x14ac:dyDescent="0.25"/>
    <row r="60492" hidden="1" x14ac:dyDescent="0.25"/>
    <row r="60493" hidden="1" x14ac:dyDescent="0.25"/>
    <row r="60494" hidden="1" x14ac:dyDescent="0.25"/>
    <row r="60495" hidden="1" x14ac:dyDescent="0.25"/>
    <row r="60496" hidden="1" x14ac:dyDescent="0.25"/>
    <row r="60497" hidden="1" x14ac:dyDescent="0.25"/>
    <row r="60498" hidden="1" x14ac:dyDescent="0.25"/>
    <row r="60499" hidden="1" x14ac:dyDescent="0.25"/>
    <row r="60500" hidden="1" x14ac:dyDescent="0.25"/>
    <row r="60501" hidden="1" x14ac:dyDescent="0.25"/>
    <row r="60502" hidden="1" x14ac:dyDescent="0.25"/>
    <row r="60503" hidden="1" x14ac:dyDescent="0.25"/>
    <row r="60504" hidden="1" x14ac:dyDescent="0.25"/>
    <row r="60505" hidden="1" x14ac:dyDescent="0.25"/>
    <row r="60506" hidden="1" x14ac:dyDescent="0.25"/>
    <row r="60507" hidden="1" x14ac:dyDescent="0.25"/>
    <row r="60508" hidden="1" x14ac:dyDescent="0.25"/>
    <row r="60509" hidden="1" x14ac:dyDescent="0.25"/>
    <row r="60510" hidden="1" x14ac:dyDescent="0.25"/>
    <row r="60511" hidden="1" x14ac:dyDescent="0.25"/>
    <row r="60512" hidden="1" x14ac:dyDescent="0.25"/>
    <row r="60513" hidden="1" x14ac:dyDescent="0.25"/>
    <row r="60514" hidden="1" x14ac:dyDescent="0.25"/>
    <row r="60515" hidden="1" x14ac:dyDescent="0.25"/>
    <row r="60516" hidden="1" x14ac:dyDescent="0.25"/>
    <row r="60517" hidden="1" x14ac:dyDescent="0.25"/>
    <row r="60518" hidden="1" x14ac:dyDescent="0.25"/>
    <row r="60519" hidden="1" x14ac:dyDescent="0.25"/>
    <row r="60520" hidden="1" x14ac:dyDescent="0.25"/>
    <row r="60521" hidden="1" x14ac:dyDescent="0.25"/>
    <row r="60522" hidden="1" x14ac:dyDescent="0.25"/>
    <row r="60523" hidden="1" x14ac:dyDescent="0.25"/>
    <row r="60524" hidden="1" x14ac:dyDescent="0.25"/>
    <row r="60525" hidden="1" x14ac:dyDescent="0.25"/>
    <row r="60526" hidden="1" x14ac:dyDescent="0.25"/>
    <row r="60527" hidden="1" x14ac:dyDescent="0.25"/>
    <row r="60528" hidden="1" x14ac:dyDescent="0.25"/>
    <row r="60529" hidden="1" x14ac:dyDescent="0.25"/>
    <row r="60530" hidden="1" x14ac:dyDescent="0.25"/>
    <row r="60531" hidden="1" x14ac:dyDescent="0.25"/>
    <row r="60532" hidden="1" x14ac:dyDescent="0.25"/>
    <row r="60533" hidden="1" x14ac:dyDescent="0.25"/>
    <row r="60534" hidden="1" x14ac:dyDescent="0.25"/>
    <row r="60535" hidden="1" x14ac:dyDescent="0.25"/>
    <row r="60536" hidden="1" x14ac:dyDescent="0.25"/>
    <row r="60537" hidden="1" x14ac:dyDescent="0.25"/>
    <row r="60538" hidden="1" x14ac:dyDescent="0.25"/>
    <row r="60539" hidden="1" x14ac:dyDescent="0.25"/>
    <row r="60540" hidden="1" x14ac:dyDescent="0.25"/>
    <row r="60541" hidden="1" x14ac:dyDescent="0.25"/>
    <row r="60542" hidden="1" x14ac:dyDescent="0.25"/>
    <row r="60543" hidden="1" x14ac:dyDescent="0.25"/>
    <row r="60544" hidden="1" x14ac:dyDescent="0.25"/>
    <row r="60545" hidden="1" x14ac:dyDescent="0.25"/>
    <row r="60546" hidden="1" x14ac:dyDescent="0.25"/>
    <row r="60547" hidden="1" x14ac:dyDescent="0.25"/>
    <row r="60548" hidden="1" x14ac:dyDescent="0.25"/>
    <row r="60549" hidden="1" x14ac:dyDescent="0.25"/>
    <row r="60550" hidden="1" x14ac:dyDescent="0.25"/>
    <row r="60551" hidden="1" x14ac:dyDescent="0.25"/>
    <row r="60552" hidden="1" x14ac:dyDescent="0.25"/>
    <row r="60553" hidden="1" x14ac:dyDescent="0.25"/>
    <row r="60554" hidden="1" x14ac:dyDescent="0.25"/>
    <row r="60555" hidden="1" x14ac:dyDescent="0.25"/>
    <row r="60556" hidden="1" x14ac:dyDescent="0.25"/>
    <row r="60557" hidden="1" x14ac:dyDescent="0.25"/>
    <row r="60558" hidden="1" x14ac:dyDescent="0.25"/>
    <row r="60559" hidden="1" x14ac:dyDescent="0.25"/>
    <row r="60560" hidden="1" x14ac:dyDescent="0.25"/>
    <row r="60561" hidden="1" x14ac:dyDescent="0.25"/>
    <row r="60562" hidden="1" x14ac:dyDescent="0.25"/>
    <row r="60563" hidden="1" x14ac:dyDescent="0.25"/>
    <row r="60564" hidden="1" x14ac:dyDescent="0.25"/>
    <row r="60565" hidden="1" x14ac:dyDescent="0.25"/>
    <row r="60566" hidden="1" x14ac:dyDescent="0.25"/>
    <row r="60567" hidden="1" x14ac:dyDescent="0.25"/>
    <row r="60568" hidden="1" x14ac:dyDescent="0.25"/>
    <row r="60569" hidden="1" x14ac:dyDescent="0.25"/>
    <row r="60570" hidden="1" x14ac:dyDescent="0.25"/>
    <row r="60571" hidden="1" x14ac:dyDescent="0.25"/>
    <row r="60572" hidden="1" x14ac:dyDescent="0.25"/>
    <row r="60573" hidden="1" x14ac:dyDescent="0.25"/>
    <row r="60574" hidden="1" x14ac:dyDescent="0.25"/>
    <row r="60575" hidden="1" x14ac:dyDescent="0.25"/>
    <row r="60576" hidden="1" x14ac:dyDescent="0.25"/>
    <row r="60577" hidden="1" x14ac:dyDescent="0.25"/>
    <row r="60578" hidden="1" x14ac:dyDescent="0.25"/>
    <row r="60579" hidden="1" x14ac:dyDescent="0.25"/>
    <row r="60580" hidden="1" x14ac:dyDescent="0.25"/>
    <row r="60581" hidden="1" x14ac:dyDescent="0.25"/>
    <row r="60582" hidden="1" x14ac:dyDescent="0.25"/>
    <row r="60583" hidden="1" x14ac:dyDescent="0.25"/>
    <row r="60584" hidden="1" x14ac:dyDescent="0.25"/>
    <row r="60585" hidden="1" x14ac:dyDescent="0.25"/>
    <row r="60586" hidden="1" x14ac:dyDescent="0.25"/>
    <row r="60587" hidden="1" x14ac:dyDescent="0.25"/>
    <row r="60588" hidden="1" x14ac:dyDescent="0.25"/>
    <row r="60589" hidden="1" x14ac:dyDescent="0.25"/>
    <row r="60590" hidden="1" x14ac:dyDescent="0.25"/>
    <row r="60591" hidden="1" x14ac:dyDescent="0.25"/>
    <row r="60592" hidden="1" x14ac:dyDescent="0.25"/>
    <row r="60593" hidden="1" x14ac:dyDescent="0.25"/>
    <row r="60594" hidden="1" x14ac:dyDescent="0.25"/>
    <row r="60595" hidden="1" x14ac:dyDescent="0.25"/>
    <row r="60596" hidden="1" x14ac:dyDescent="0.25"/>
    <row r="60597" hidden="1" x14ac:dyDescent="0.25"/>
    <row r="60598" hidden="1" x14ac:dyDescent="0.25"/>
    <row r="60599" hidden="1" x14ac:dyDescent="0.25"/>
    <row r="60600" hidden="1" x14ac:dyDescent="0.25"/>
    <row r="60601" hidden="1" x14ac:dyDescent="0.25"/>
    <row r="60602" hidden="1" x14ac:dyDescent="0.25"/>
    <row r="60603" hidden="1" x14ac:dyDescent="0.25"/>
    <row r="60604" hidden="1" x14ac:dyDescent="0.25"/>
    <row r="60605" hidden="1" x14ac:dyDescent="0.25"/>
    <row r="60606" hidden="1" x14ac:dyDescent="0.25"/>
    <row r="60607" hidden="1" x14ac:dyDescent="0.25"/>
    <row r="60608" hidden="1" x14ac:dyDescent="0.25"/>
    <row r="60609" hidden="1" x14ac:dyDescent="0.25"/>
    <row r="60610" hidden="1" x14ac:dyDescent="0.25"/>
    <row r="60611" hidden="1" x14ac:dyDescent="0.25"/>
    <row r="60612" hidden="1" x14ac:dyDescent="0.25"/>
    <row r="60613" hidden="1" x14ac:dyDescent="0.25"/>
    <row r="60614" hidden="1" x14ac:dyDescent="0.25"/>
    <row r="60615" hidden="1" x14ac:dyDescent="0.25"/>
    <row r="60616" hidden="1" x14ac:dyDescent="0.25"/>
    <row r="60617" hidden="1" x14ac:dyDescent="0.25"/>
    <row r="60618" hidden="1" x14ac:dyDescent="0.25"/>
    <row r="60619" hidden="1" x14ac:dyDescent="0.25"/>
    <row r="60620" hidden="1" x14ac:dyDescent="0.25"/>
    <row r="60621" hidden="1" x14ac:dyDescent="0.25"/>
    <row r="60622" hidden="1" x14ac:dyDescent="0.25"/>
    <row r="60623" hidden="1" x14ac:dyDescent="0.25"/>
    <row r="60624" hidden="1" x14ac:dyDescent="0.25"/>
    <row r="60625" hidden="1" x14ac:dyDescent="0.25"/>
    <row r="60626" hidden="1" x14ac:dyDescent="0.25"/>
    <row r="60627" hidden="1" x14ac:dyDescent="0.25"/>
    <row r="60628" hidden="1" x14ac:dyDescent="0.25"/>
    <row r="60629" hidden="1" x14ac:dyDescent="0.25"/>
    <row r="60630" hidden="1" x14ac:dyDescent="0.25"/>
    <row r="60631" hidden="1" x14ac:dyDescent="0.25"/>
    <row r="60632" hidden="1" x14ac:dyDescent="0.25"/>
    <row r="60633" hidden="1" x14ac:dyDescent="0.25"/>
    <row r="60634" hidden="1" x14ac:dyDescent="0.25"/>
    <row r="60635" hidden="1" x14ac:dyDescent="0.25"/>
    <row r="60636" hidden="1" x14ac:dyDescent="0.25"/>
    <row r="60637" hidden="1" x14ac:dyDescent="0.25"/>
    <row r="60638" hidden="1" x14ac:dyDescent="0.25"/>
    <row r="60639" hidden="1" x14ac:dyDescent="0.25"/>
    <row r="60640" hidden="1" x14ac:dyDescent="0.25"/>
    <row r="60641" hidden="1" x14ac:dyDescent="0.25"/>
    <row r="60642" hidden="1" x14ac:dyDescent="0.25"/>
    <row r="60643" hidden="1" x14ac:dyDescent="0.25"/>
    <row r="60644" hidden="1" x14ac:dyDescent="0.25"/>
    <row r="60645" hidden="1" x14ac:dyDescent="0.25"/>
    <row r="60646" hidden="1" x14ac:dyDescent="0.25"/>
    <row r="60647" hidden="1" x14ac:dyDescent="0.25"/>
    <row r="60648" hidden="1" x14ac:dyDescent="0.25"/>
    <row r="60649" hidden="1" x14ac:dyDescent="0.25"/>
    <row r="60650" hidden="1" x14ac:dyDescent="0.25"/>
    <row r="60651" hidden="1" x14ac:dyDescent="0.25"/>
    <row r="60652" hidden="1" x14ac:dyDescent="0.25"/>
    <row r="60653" hidden="1" x14ac:dyDescent="0.25"/>
    <row r="60654" hidden="1" x14ac:dyDescent="0.25"/>
    <row r="60655" hidden="1" x14ac:dyDescent="0.25"/>
    <row r="60656" hidden="1" x14ac:dyDescent="0.25"/>
    <row r="60657" hidden="1" x14ac:dyDescent="0.25"/>
    <row r="60658" hidden="1" x14ac:dyDescent="0.25"/>
    <row r="60659" hidden="1" x14ac:dyDescent="0.25"/>
    <row r="60660" hidden="1" x14ac:dyDescent="0.25"/>
    <row r="60661" hidden="1" x14ac:dyDescent="0.25"/>
    <row r="60662" hidden="1" x14ac:dyDescent="0.25"/>
    <row r="60663" hidden="1" x14ac:dyDescent="0.25"/>
    <row r="60664" hidden="1" x14ac:dyDescent="0.25"/>
    <row r="60665" hidden="1" x14ac:dyDescent="0.25"/>
    <row r="60666" hidden="1" x14ac:dyDescent="0.25"/>
    <row r="60667" hidden="1" x14ac:dyDescent="0.25"/>
    <row r="60668" hidden="1" x14ac:dyDescent="0.25"/>
    <row r="60669" hidden="1" x14ac:dyDescent="0.25"/>
    <row r="60670" hidden="1" x14ac:dyDescent="0.25"/>
    <row r="60671" hidden="1" x14ac:dyDescent="0.25"/>
    <row r="60672" hidden="1" x14ac:dyDescent="0.25"/>
    <row r="60673" hidden="1" x14ac:dyDescent="0.25"/>
    <row r="60674" hidden="1" x14ac:dyDescent="0.25"/>
    <row r="60675" hidden="1" x14ac:dyDescent="0.25"/>
    <row r="60676" hidden="1" x14ac:dyDescent="0.25"/>
    <row r="60677" hidden="1" x14ac:dyDescent="0.25"/>
    <row r="60678" hidden="1" x14ac:dyDescent="0.25"/>
    <row r="60679" hidden="1" x14ac:dyDescent="0.25"/>
    <row r="60680" hidden="1" x14ac:dyDescent="0.25"/>
    <row r="60681" hidden="1" x14ac:dyDescent="0.25"/>
    <row r="60682" hidden="1" x14ac:dyDescent="0.25"/>
    <row r="60683" hidden="1" x14ac:dyDescent="0.25"/>
    <row r="60684" hidden="1" x14ac:dyDescent="0.25"/>
    <row r="60685" hidden="1" x14ac:dyDescent="0.25"/>
    <row r="60686" hidden="1" x14ac:dyDescent="0.25"/>
    <row r="60687" hidden="1" x14ac:dyDescent="0.25"/>
    <row r="60688" hidden="1" x14ac:dyDescent="0.25"/>
    <row r="60689" hidden="1" x14ac:dyDescent="0.25"/>
    <row r="60690" hidden="1" x14ac:dyDescent="0.25"/>
    <row r="60691" hidden="1" x14ac:dyDescent="0.25"/>
    <row r="60692" hidden="1" x14ac:dyDescent="0.25"/>
    <row r="60693" hidden="1" x14ac:dyDescent="0.25"/>
    <row r="60694" hidden="1" x14ac:dyDescent="0.25"/>
    <row r="60695" hidden="1" x14ac:dyDescent="0.25"/>
    <row r="60696" hidden="1" x14ac:dyDescent="0.25"/>
    <row r="60697" hidden="1" x14ac:dyDescent="0.25"/>
    <row r="60698" hidden="1" x14ac:dyDescent="0.25"/>
    <row r="60699" hidden="1" x14ac:dyDescent="0.25"/>
    <row r="60700" hidden="1" x14ac:dyDescent="0.25"/>
    <row r="60701" hidden="1" x14ac:dyDescent="0.25"/>
    <row r="60702" hidden="1" x14ac:dyDescent="0.25"/>
    <row r="60703" hidden="1" x14ac:dyDescent="0.25"/>
    <row r="60704" hidden="1" x14ac:dyDescent="0.25"/>
    <row r="60705" hidden="1" x14ac:dyDescent="0.25"/>
    <row r="60706" hidden="1" x14ac:dyDescent="0.25"/>
    <row r="60707" hidden="1" x14ac:dyDescent="0.25"/>
    <row r="60708" hidden="1" x14ac:dyDescent="0.25"/>
    <row r="60709" hidden="1" x14ac:dyDescent="0.25"/>
    <row r="60710" hidden="1" x14ac:dyDescent="0.25"/>
    <row r="60711" hidden="1" x14ac:dyDescent="0.25"/>
    <row r="60712" hidden="1" x14ac:dyDescent="0.25"/>
    <row r="60713" hidden="1" x14ac:dyDescent="0.25"/>
    <row r="60714" hidden="1" x14ac:dyDescent="0.25"/>
    <row r="60715" hidden="1" x14ac:dyDescent="0.25"/>
    <row r="60716" hidden="1" x14ac:dyDescent="0.25"/>
    <row r="60717" hidden="1" x14ac:dyDescent="0.25"/>
    <row r="60718" hidden="1" x14ac:dyDescent="0.25"/>
    <row r="60719" hidden="1" x14ac:dyDescent="0.25"/>
    <row r="60720" hidden="1" x14ac:dyDescent="0.25"/>
    <row r="60721" hidden="1" x14ac:dyDescent="0.25"/>
    <row r="60722" hidden="1" x14ac:dyDescent="0.25"/>
    <row r="60723" hidden="1" x14ac:dyDescent="0.25"/>
    <row r="60724" hidden="1" x14ac:dyDescent="0.25"/>
    <row r="60725" hidden="1" x14ac:dyDescent="0.25"/>
    <row r="60726" hidden="1" x14ac:dyDescent="0.25"/>
    <row r="60727" hidden="1" x14ac:dyDescent="0.25"/>
    <row r="60728" hidden="1" x14ac:dyDescent="0.25"/>
    <row r="60729" hidden="1" x14ac:dyDescent="0.25"/>
    <row r="60730" hidden="1" x14ac:dyDescent="0.25"/>
    <row r="60731" hidden="1" x14ac:dyDescent="0.25"/>
    <row r="60732" hidden="1" x14ac:dyDescent="0.25"/>
    <row r="60733" hidden="1" x14ac:dyDescent="0.25"/>
    <row r="60734" hidden="1" x14ac:dyDescent="0.25"/>
    <row r="60735" hidden="1" x14ac:dyDescent="0.25"/>
    <row r="60736" hidden="1" x14ac:dyDescent="0.25"/>
    <row r="60737" hidden="1" x14ac:dyDescent="0.25"/>
    <row r="60738" hidden="1" x14ac:dyDescent="0.25"/>
    <row r="60739" hidden="1" x14ac:dyDescent="0.25"/>
    <row r="60740" hidden="1" x14ac:dyDescent="0.25"/>
    <row r="60741" hidden="1" x14ac:dyDescent="0.25"/>
    <row r="60742" hidden="1" x14ac:dyDescent="0.25"/>
    <row r="60743" hidden="1" x14ac:dyDescent="0.25"/>
    <row r="60744" hidden="1" x14ac:dyDescent="0.25"/>
    <row r="60745" hidden="1" x14ac:dyDescent="0.25"/>
    <row r="60746" hidden="1" x14ac:dyDescent="0.25"/>
    <row r="60747" hidden="1" x14ac:dyDescent="0.25"/>
    <row r="60748" hidden="1" x14ac:dyDescent="0.25"/>
    <row r="60749" hidden="1" x14ac:dyDescent="0.25"/>
    <row r="60750" hidden="1" x14ac:dyDescent="0.25"/>
    <row r="60751" hidden="1" x14ac:dyDescent="0.25"/>
    <row r="60752" hidden="1" x14ac:dyDescent="0.25"/>
    <row r="60753" hidden="1" x14ac:dyDescent="0.25"/>
    <row r="60754" hidden="1" x14ac:dyDescent="0.25"/>
    <row r="60755" hidden="1" x14ac:dyDescent="0.25"/>
    <row r="60756" hidden="1" x14ac:dyDescent="0.25"/>
    <row r="60757" hidden="1" x14ac:dyDescent="0.25"/>
    <row r="60758" hidden="1" x14ac:dyDescent="0.25"/>
    <row r="60759" hidden="1" x14ac:dyDescent="0.25"/>
    <row r="60760" hidden="1" x14ac:dyDescent="0.25"/>
    <row r="60761" hidden="1" x14ac:dyDescent="0.25"/>
    <row r="60762" hidden="1" x14ac:dyDescent="0.25"/>
    <row r="60763" hidden="1" x14ac:dyDescent="0.25"/>
    <row r="60764" hidden="1" x14ac:dyDescent="0.25"/>
    <row r="60765" hidden="1" x14ac:dyDescent="0.25"/>
    <row r="60766" hidden="1" x14ac:dyDescent="0.25"/>
    <row r="60767" hidden="1" x14ac:dyDescent="0.25"/>
    <row r="60768" hidden="1" x14ac:dyDescent="0.25"/>
    <row r="60769" hidden="1" x14ac:dyDescent="0.25"/>
    <row r="60770" hidden="1" x14ac:dyDescent="0.25"/>
    <row r="60771" hidden="1" x14ac:dyDescent="0.25"/>
    <row r="60772" hidden="1" x14ac:dyDescent="0.25"/>
    <row r="60773" hidden="1" x14ac:dyDescent="0.25"/>
    <row r="60774" hidden="1" x14ac:dyDescent="0.25"/>
    <row r="60775" hidden="1" x14ac:dyDescent="0.25"/>
    <row r="60776" hidden="1" x14ac:dyDescent="0.25"/>
    <row r="60777" hidden="1" x14ac:dyDescent="0.25"/>
    <row r="60778" hidden="1" x14ac:dyDescent="0.25"/>
    <row r="60779" hidden="1" x14ac:dyDescent="0.25"/>
    <row r="60780" hidden="1" x14ac:dyDescent="0.25"/>
    <row r="60781" hidden="1" x14ac:dyDescent="0.25"/>
    <row r="60782" hidden="1" x14ac:dyDescent="0.25"/>
    <row r="60783" hidden="1" x14ac:dyDescent="0.25"/>
    <row r="60784" hidden="1" x14ac:dyDescent="0.25"/>
    <row r="60785" hidden="1" x14ac:dyDescent="0.25"/>
    <row r="60786" hidden="1" x14ac:dyDescent="0.25"/>
    <row r="60787" hidden="1" x14ac:dyDescent="0.25"/>
    <row r="60788" hidden="1" x14ac:dyDescent="0.25"/>
    <row r="60789" hidden="1" x14ac:dyDescent="0.25"/>
    <row r="60790" hidden="1" x14ac:dyDescent="0.25"/>
    <row r="60791" hidden="1" x14ac:dyDescent="0.25"/>
    <row r="60792" hidden="1" x14ac:dyDescent="0.25"/>
    <row r="60793" hidden="1" x14ac:dyDescent="0.25"/>
    <row r="60794" hidden="1" x14ac:dyDescent="0.25"/>
    <row r="60795" hidden="1" x14ac:dyDescent="0.25"/>
    <row r="60796" hidden="1" x14ac:dyDescent="0.25"/>
    <row r="60797" hidden="1" x14ac:dyDescent="0.25"/>
    <row r="60798" hidden="1" x14ac:dyDescent="0.25"/>
    <row r="60799" hidden="1" x14ac:dyDescent="0.25"/>
    <row r="60800" hidden="1" x14ac:dyDescent="0.25"/>
    <row r="60801" hidden="1" x14ac:dyDescent="0.25"/>
    <row r="60802" hidden="1" x14ac:dyDescent="0.25"/>
    <row r="60803" hidden="1" x14ac:dyDescent="0.25"/>
    <row r="60804" hidden="1" x14ac:dyDescent="0.25"/>
    <row r="60805" hidden="1" x14ac:dyDescent="0.25"/>
    <row r="60806" hidden="1" x14ac:dyDescent="0.25"/>
    <row r="60807" hidden="1" x14ac:dyDescent="0.25"/>
    <row r="60808" hidden="1" x14ac:dyDescent="0.25"/>
    <row r="60809" hidden="1" x14ac:dyDescent="0.25"/>
    <row r="60810" hidden="1" x14ac:dyDescent="0.25"/>
    <row r="60811" hidden="1" x14ac:dyDescent="0.25"/>
    <row r="60812" hidden="1" x14ac:dyDescent="0.25"/>
    <row r="60813" hidden="1" x14ac:dyDescent="0.25"/>
    <row r="60814" hidden="1" x14ac:dyDescent="0.25"/>
    <row r="60815" hidden="1" x14ac:dyDescent="0.25"/>
    <row r="60816" hidden="1" x14ac:dyDescent="0.25"/>
    <row r="60817" hidden="1" x14ac:dyDescent="0.25"/>
    <row r="60818" hidden="1" x14ac:dyDescent="0.25"/>
    <row r="60819" hidden="1" x14ac:dyDescent="0.25"/>
    <row r="60820" hidden="1" x14ac:dyDescent="0.25"/>
    <row r="60821" hidden="1" x14ac:dyDescent="0.25"/>
    <row r="60822" hidden="1" x14ac:dyDescent="0.25"/>
    <row r="60823" hidden="1" x14ac:dyDescent="0.25"/>
    <row r="60824" hidden="1" x14ac:dyDescent="0.25"/>
    <row r="60825" hidden="1" x14ac:dyDescent="0.25"/>
    <row r="60826" hidden="1" x14ac:dyDescent="0.25"/>
    <row r="60827" hidden="1" x14ac:dyDescent="0.25"/>
    <row r="60828" hidden="1" x14ac:dyDescent="0.25"/>
    <row r="60829" hidden="1" x14ac:dyDescent="0.25"/>
    <row r="60830" hidden="1" x14ac:dyDescent="0.25"/>
    <row r="60831" hidden="1" x14ac:dyDescent="0.25"/>
    <row r="60832" hidden="1" x14ac:dyDescent="0.25"/>
    <row r="60833" hidden="1" x14ac:dyDescent="0.25"/>
    <row r="60834" hidden="1" x14ac:dyDescent="0.25"/>
    <row r="60835" hidden="1" x14ac:dyDescent="0.25"/>
    <row r="60836" hidden="1" x14ac:dyDescent="0.25"/>
    <row r="60837" hidden="1" x14ac:dyDescent="0.25"/>
    <row r="60838" hidden="1" x14ac:dyDescent="0.25"/>
    <row r="60839" hidden="1" x14ac:dyDescent="0.25"/>
    <row r="60840" hidden="1" x14ac:dyDescent="0.25"/>
    <row r="60841" hidden="1" x14ac:dyDescent="0.25"/>
    <row r="60842" hidden="1" x14ac:dyDescent="0.25"/>
    <row r="60843" hidden="1" x14ac:dyDescent="0.25"/>
    <row r="60844" hidden="1" x14ac:dyDescent="0.25"/>
    <row r="60845" hidden="1" x14ac:dyDescent="0.25"/>
    <row r="60846" hidden="1" x14ac:dyDescent="0.25"/>
    <row r="60847" hidden="1" x14ac:dyDescent="0.25"/>
    <row r="60848" hidden="1" x14ac:dyDescent="0.25"/>
    <row r="60849" hidden="1" x14ac:dyDescent="0.25"/>
    <row r="60850" hidden="1" x14ac:dyDescent="0.25"/>
    <row r="60851" hidden="1" x14ac:dyDescent="0.25"/>
    <row r="60852" hidden="1" x14ac:dyDescent="0.25"/>
    <row r="60853" hidden="1" x14ac:dyDescent="0.25"/>
    <row r="60854" hidden="1" x14ac:dyDescent="0.25"/>
    <row r="60855" hidden="1" x14ac:dyDescent="0.25"/>
    <row r="60856" hidden="1" x14ac:dyDescent="0.25"/>
    <row r="60857" hidden="1" x14ac:dyDescent="0.25"/>
    <row r="60858" hidden="1" x14ac:dyDescent="0.25"/>
    <row r="60859" hidden="1" x14ac:dyDescent="0.25"/>
    <row r="60860" hidden="1" x14ac:dyDescent="0.25"/>
    <row r="60861" hidden="1" x14ac:dyDescent="0.25"/>
    <row r="60862" hidden="1" x14ac:dyDescent="0.25"/>
    <row r="60863" hidden="1" x14ac:dyDescent="0.25"/>
    <row r="60864" hidden="1" x14ac:dyDescent="0.25"/>
    <row r="60865" hidden="1" x14ac:dyDescent="0.25"/>
    <row r="60866" hidden="1" x14ac:dyDescent="0.25"/>
    <row r="60867" hidden="1" x14ac:dyDescent="0.25"/>
    <row r="60868" hidden="1" x14ac:dyDescent="0.25"/>
    <row r="60869" hidden="1" x14ac:dyDescent="0.25"/>
    <row r="60870" hidden="1" x14ac:dyDescent="0.25"/>
    <row r="60871" hidden="1" x14ac:dyDescent="0.25"/>
    <row r="60872" hidden="1" x14ac:dyDescent="0.25"/>
    <row r="60873" hidden="1" x14ac:dyDescent="0.25"/>
    <row r="60874" hidden="1" x14ac:dyDescent="0.25"/>
    <row r="60875" hidden="1" x14ac:dyDescent="0.25"/>
    <row r="60876" hidden="1" x14ac:dyDescent="0.25"/>
    <row r="60877" hidden="1" x14ac:dyDescent="0.25"/>
    <row r="60878" hidden="1" x14ac:dyDescent="0.25"/>
    <row r="60879" hidden="1" x14ac:dyDescent="0.25"/>
    <row r="60880" hidden="1" x14ac:dyDescent="0.25"/>
    <row r="60881" hidden="1" x14ac:dyDescent="0.25"/>
    <row r="60882" hidden="1" x14ac:dyDescent="0.25"/>
    <row r="60883" hidden="1" x14ac:dyDescent="0.25"/>
    <row r="60884" hidden="1" x14ac:dyDescent="0.25"/>
    <row r="60885" hidden="1" x14ac:dyDescent="0.25"/>
    <row r="60886" hidden="1" x14ac:dyDescent="0.25"/>
    <row r="60887" hidden="1" x14ac:dyDescent="0.25"/>
    <row r="60888" hidden="1" x14ac:dyDescent="0.25"/>
    <row r="60889" hidden="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idden="1" x14ac:dyDescent="0.25"/>
    <row r="60898" hidden="1" x14ac:dyDescent="0.25"/>
    <row r="60899" hidden="1" x14ac:dyDescent="0.25"/>
    <row r="60900" hidden="1" x14ac:dyDescent="0.25"/>
    <row r="60901" hidden="1" x14ac:dyDescent="0.25"/>
    <row r="60902" hidden="1" x14ac:dyDescent="0.25"/>
    <row r="60903" hidden="1" x14ac:dyDescent="0.25"/>
    <row r="60904" hidden="1" x14ac:dyDescent="0.25"/>
    <row r="60905" hidden="1" x14ac:dyDescent="0.25"/>
    <row r="60906" hidden="1" x14ac:dyDescent="0.25"/>
    <row r="60907" hidden="1" x14ac:dyDescent="0.25"/>
    <row r="60908" hidden="1" x14ac:dyDescent="0.25"/>
    <row r="60909" hidden="1" x14ac:dyDescent="0.25"/>
    <row r="60910" hidden="1" x14ac:dyDescent="0.25"/>
    <row r="60911" hidden="1" x14ac:dyDescent="0.25"/>
    <row r="60912" hidden="1" x14ac:dyDescent="0.25"/>
    <row r="60913" hidden="1" x14ac:dyDescent="0.25"/>
    <row r="60914" hidden="1" x14ac:dyDescent="0.25"/>
    <row r="60915" hidden="1" x14ac:dyDescent="0.25"/>
    <row r="60916" hidden="1" x14ac:dyDescent="0.25"/>
    <row r="60917" hidden="1" x14ac:dyDescent="0.25"/>
    <row r="60918" hidden="1" x14ac:dyDescent="0.25"/>
    <row r="60919" hidden="1" x14ac:dyDescent="0.25"/>
    <row r="60920" hidden="1" x14ac:dyDescent="0.25"/>
    <row r="60921" hidden="1" x14ac:dyDescent="0.25"/>
    <row r="60922" hidden="1" x14ac:dyDescent="0.25"/>
    <row r="60923" hidden="1" x14ac:dyDescent="0.25"/>
    <row r="60924" hidden="1" x14ac:dyDescent="0.25"/>
    <row r="60925" hidden="1" x14ac:dyDescent="0.25"/>
    <row r="60926" hidden="1" x14ac:dyDescent="0.25"/>
    <row r="60927" hidden="1" x14ac:dyDescent="0.25"/>
    <row r="60928" hidden="1" x14ac:dyDescent="0.25"/>
    <row r="60929" hidden="1" x14ac:dyDescent="0.25"/>
    <row r="60930" hidden="1" x14ac:dyDescent="0.25"/>
    <row r="60931" hidden="1" x14ac:dyDescent="0.25"/>
    <row r="60932" hidden="1" x14ac:dyDescent="0.25"/>
    <row r="60933" hidden="1" x14ac:dyDescent="0.25"/>
    <row r="60934" hidden="1" x14ac:dyDescent="0.25"/>
    <row r="60935" hidden="1" x14ac:dyDescent="0.25"/>
    <row r="60936" hidden="1" x14ac:dyDescent="0.25"/>
    <row r="60937" hidden="1" x14ac:dyDescent="0.25"/>
    <row r="60938" hidden="1" x14ac:dyDescent="0.25"/>
    <row r="60939" hidden="1" x14ac:dyDescent="0.25"/>
    <row r="60940" hidden="1" x14ac:dyDescent="0.25"/>
    <row r="60941" hidden="1" x14ac:dyDescent="0.25"/>
    <row r="60942" hidden="1" x14ac:dyDescent="0.25"/>
    <row r="60943" hidden="1" x14ac:dyDescent="0.25"/>
    <row r="60944" hidden="1" x14ac:dyDescent="0.25"/>
    <row r="60945" hidden="1" x14ac:dyDescent="0.25"/>
    <row r="60946" hidden="1" x14ac:dyDescent="0.25"/>
    <row r="60947" hidden="1" x14ac:dyDescent="0.25"/>
    <row r="60948" hidden="1" x14ac:dyDescent="0.25"/>
    <row r="60949" hidden="1" x14ac:dyDescent="0.25"/>
    <row r="60950" hidden="1" x14ac:dyDescent="0.25"/>
    <row r="60951" hidden="1" x14ac:dyDescent="0.25"/>
    <row r="60952" hidden="1" x14ac:dyDescent="0.25"/>
    <row r="60953" hidden="1" x14ac:dyDescent="0.25"/>
    <row r="60954" hidden="1" x14ac:dyDescent="0.25"/>
    <row r="60955" hidden="1" x14ac:dyDescent="0.25"/>
    <row r="60956" hidden="1" x14ac:dyDescent="0.25"/>
    <row r="60957" hidden="1" x14ac:dyDescent="0.25"/>
    <row r="60958" hidden="1" x14ac:dyDescent="0.25"/>
    <row r="60959" hidden="1" x14ac:dyDescent="0.25"/>
    <row r="60960" hidden="1" x14ac:dyDescent="0.25"/>
    <row r="60961" hidden="1" x14ac:dyDescent="0.25"/>
    <row r="60962" hidden="1" x14ac:dyDescent="0.25"/>
    <row r="60963" hidden="1" x14ac:dyDescent="0.25"/>
    <row r="60964" hidden="1" x14ac:dyDescent="0.25"/>
    <row r="60965" hidden="1" x14ac:dyDescent="0.25"/>
    <row r="60966" hidden="1" x14ac:dyDescent="0.25"/>
    <row r="60967" hidden="1" x14ac:dyDescent="0.25"/>
    <row r="60968" hidden="1" x14ac:dyDescent="0.25"/>
    <row r="60969" hidden="1" x14ac:dyDescent="0.25"/>
    <row r="60970" hidden="1" x14ac:dyDescent="0.25"/>
    <row r="60971" hidden="1" x14ac:dyDescent="0.25"/>
    <row r="60972" hidden="1" x14ac:dyDescent="0.25"/>
    <row r="60973" hidden="1" x14ac:dyDescent="0.25"/>
    <row r="60974" hidden="1" x14ac:dyDescent="0.25"/>
    <row r="60975" hidden="1" x14ac:dyDescent="0.25"/>
    <row r="60976" hidden="1" x14ac:dyDescent="0.25"/>
    <row r="60977" hidden="1" x14ac:dyDescent="0.25"/>
    <row r="60978" hidden="1" x14ac:dyDescent="0.25"/>
    <row r="60979" hidden="1" x14ac:dyDescent="0.25"/>
    <row r="60980" hidden="1" x14ac:dyDescent="0.25"/>
    <row r="60981" hidden="1" x14ac:dyDescent="0.25"/>
    <row r="60982" hidden="1" x14ac:dyDescent="0.25"/>
    <row r="60983" hidden="1" x14ac:dyDescent="0.25"/>
    <row r="60984" hidden="1" x14ac:dyDescent="0.25"/>
    <row r="60985" hidden="1" x14ac:dyDescent="0.25"/>
    <row r="60986" hidden="1" x14ac:dyDescent="0.25"/>
    <row r="60987" hidden="1" x14ac:dyDescent="0.25"/>
    <row r="60988" hidden="1" x14ac:dyDescent="0.25"/>
    <row r="60989" hidden="1" x14ac:dyDescent="0.25"/>
    <row r="60990" hidden="1" x14ac:dyDescent="0.25"/>
    <row r="60991" hidden="1" x14ac:dyDescent="0.25"/>
    <row r="60992" hidden="1" x14ac:dyDescent="0.25"/>
    <row r="60993" hidden="1" x14ac:dyDescent="0.25"/>
    <row r="60994" hidden="1" x14ac:dyDescent="0.25"/>
    <row r="60995" hidden="1" x14ac:dyDescent="0.25"/>
    <row r="60996" hidden="1" x14ac:dyDescent="0.25"/>
    <row r="60997" hidden="1" x14ac:dyDescent="0.25"/>
    <row r="60998" hidden="1" x14ac:dyDescent="0.25"/>
    <row r="60999" hidden="1" x14ac:dyDescent="0.25"/>
    <row r="61000" hidden="1" x14ac:dyDescent="0.25"/>
    <row r="61001" hidden="1" x14ac:dyDescent="0.25"/>
    <row r="61002" hidden="1" x14ac:dyDescent="0.25"/>
    <row r="61003" hidden="1" x14ac:dyDescent="0.25"/>
    <row r="61004" hidden="1" x14ac:dyDescent="0.25"/>
    <row r="61005" hidden="1" x14ac:dyDescent="0.25"/>
    <row r="61006" hidden="1" x14ac:dyDescent="0.25"/>
    <row r="61007" hidden="1" x14ac:dyDescent="0.25"/>
    <row r="61008" hidden="1" x14ac:dyDescent="0.25"/>
    <row r="61009" hidden="1" x14ac:dyDescent="0.25"/>
    <row r="61010" hidden="1" x14ac:dyDescent="0.25"/>
    <row r="61011" hidden="1" x14ac:dyDescent="0.25"/>
    <row r="61012" hidden="1" x14ac:dyDescent="0.25"/>
    <row r="61013" hidden="1" x14ac:dyDescent="0.25"/>
    <row r="61014" hidden="1" x14ac:dyDescent="0.25"/>
    <row r="61015" hidden="1" x14ac:dyDescent="0.25"/>
    <row r="61016" hidden="1" x14ac:dyDescent="0.25"/>
    <row r="61017" hidden="1" x14ac:dyDescent="0.25"/>
    <row r="61018" hidden="1" x14ac:dyDescent="0.25"/>
    <row r="61019" hidden="1" x14ac:dyDescent="0.25"/>
    <row r="61020" hidden="1" x14ac:dyDescent="0.25"/>
    <row r="61021" hidden="1" x14ac:dyDescent="0.25"/>
    <row r="61022" hidden="1" x14ac:dyDescent="0.25"/>
    <row r="61023" hidden="1" x14ac:dyDescent="0.25"/>
    <row r="61024" hidden="1" x14ac:dyDescent="0.25"/>
    <row r="61025" hidden="1" x14ac:dyDescent="0.25"/>
    <row r="61026" hidden="1" x14ac:dyDescent="0.25"/>
    <row r="61027" hidden="1" x14ac:dyDescent="0.25"/>
    <row r="61028" hidden="1" x14ac:dyDescent="0.25"/>
    <row r="61029" hidden="1" x14ac:dyDescent="0.25"/>
    <row r="61030" hidden="1" x14ac:dyDescent="0.25"/>
    <row r="61031" hidden="1" x14ac:dyDescent="0.25"/>
    <row r="61032" hidden="1" x14ac:dyDescent="0.25"/>
    <row r="61033" hidden="1" x14ac:dyDescent="0.25"/>
    <row r="61034" hidden="1" x14ac:dyDescent="0.25"/>
    <row r="61035" hidden="1" x14ac:dyDescent="0.25"/>
    <row r="61036" hidden="1" x14ac:dyDescent="0.25"/>
    <row r="61037" hidden="1" x14ac:dyDescent="0.25"/>
    <row r="61038" hidden="1" x14ac:dyDescent="0.25"/>
    <row r="61039" hidden="1" x14ac:dyDescent="0.25"/>
    <row r="61040" hidden="1" x14ac:dyDescent="0.25"/>
    <row r="61041" hidden="1" x14ac:dyDescent="0.25"/>
    <row r="61042" hidden="1" x14ac:dyDescent="0.25"/>
    <row r="61043" hidden="1" x14ac:dyDescent="0.25"/>
    <row r="61044" hidden="1" x14ac:dyDescent="0.25"/>
    <row r="61045" hidden="1" x14ac:dyDescent="0.25"/>
    <row r="61046" hidden="1" x14ac:dyDescent="0.25"/>
    <row r="61047" hidden="1" x14ac:dyDescent="0.25"/>
    <row r="61048" hidden="1" x14ac:dyDescent="0.25"/>
    <row r="61049" hidden="1" x14ac:dyDescent="0.25"/>
    <row r="61050" hidden="1" x14ac:dyDescent="0.25"/>
    <row r="61051" hidden="1" x14ac:dyDescent="0.25"/>
    <row r="61052" hidden="1" x14ac:dyDescent="0.25"/>
    <row r="61053" hidden="1" x14ac:dyDescent="0.25"/>
    <row r="61054" hidden="1" x14ac:dyDescent="0.25"/>
    <row r="61055" hidden="1" x14ac:dyDescent="0.25"/>
    <row r="61056" hidden="1" x14ac:dyDescent="0.25"/>
    <row r="61057" hidden="1" x14ac:dyDescent="0.25"/>
    <row r="61058" hidden="1" x14ac:dyDescent="0.25"/>
    <row r="61059" hidden="1" x14ac:dyDescent="0.25"/>
    <row r="61060" hidden="1" x14ac:dyDescent="0.25"/>
    <row r="61061" hidden="1" x14ac:dyDescent="0.25"/>
    <row r="61062" hidden="1" x14ac:dyDescent="0.25"/>
    <row r="61063" hidden="1" x14ac:dyDescent="0.25"/>
    <row r="61064" hidden="1" x14ac:dyDescent="0.25"/>
    <row r="61065" hidden="1" x14ac:dyDescent="0.25"/>
    <row r="61066" hidden="1" x14ac:dyDescent="0.25"/>
    <row r="61067" hidden="1" x14ac:dyDescent="0.25"/>
    <row r="61068" hidden="1" x14ac:dyDescent="0.25"/>
    <row r="61069" hidden="1" x14ac:dyDescent="0.25"/>
    <row r="61070" hidden="1" x14ac:dyDescent="0.25"/>
    <row r="61071" hidden="1" x14ac:dyDescent="0.25"/>
    <row r="61072" hidden="1" x14ac:dyDescent="0.25"/>
    <row r="61073" hidden="1" x14ac:dyDescent="0.25"/>
    <row r="61074" hidden="1" x14ac:dyDescent="0.25"/>
    <row r="61075" hidden="1" x14ac:dyDescent="0.25"/>
    <row r="61076" hidden="1" x14ac:dyDescent="0.25"/>
    <row r="61077" hidden="1" x14ac:dyDescent="0.25"/>
    <row r="61078" hidden="1" x14ac:dyDescent="0.25"/>
    <row r="61079" hidden="1" x14ac:dyDescent="0.25"/>
    <row r="61080" hidden="1" x14ac:dyDescent="0.25"/>
    <row r="61081" hidden="1" x14ac:dyDescent="0.25"/>
    <row r="61082" hidden="1" x14ac:dyDescent="0.25"/>
    <row r="61083" hidden="1" x14ac:dyDescent="0.25"/>
    <row r="61084" hidden="1" x14ac:dyDescent="0.25"/>
    <row r="61085" hidden="1" x14ac:dyDescent="0.25"/>
    <row r="61086" hidden="1" x14ac:dyDescent="0.25"/>
    <row r="61087" hidden="1" x14ac:dyDescent="0.25"/>
    <row r="61088" hidden="1" x14ac:dyDescent="0.25"/>
    <row r="61089" hidden="1" x14ac:dyDescent="0.25"/>
    <row r="61090" hidden="1" x14ac:dyDescent="0.25"/>
    <row r="61091" hidden="1" x14ac:dyDescent="0.25"/>
    <row r="61092" hidden="1" x14ac:dyDescent="0.25"/>
    <row r="61093" hidden="1" x14ac:dyDescent="0.25"/>
    <row r="61094" hidden="1" x14ac:dyDescent="0.25"/>
    <row r="61095" hidden="1" x14ac:dyDescent="0.25"/>
    <row r="61096" hidden="1" x14ac:dyDescent="0.25"/>
    <row r="61097" hidden="1" x14ac:dyDescent="0.25"/>
    <row r="61098" hidden="1" x14ac:dyDescent="0.25"/>
    <row r="61099" hidden="1" x14ac:dyDescent="0.25"/>
    <row r="61100" hidden="1" x14ac:dyDescent="0.25"/>
    <row r="61101" hidden="1" x14ac:dyDescent="0.25"/>
    <row r="61102" hidden="1" x14ac:dyDescent="0.25"/>
    <row r="61103" hidden="1" x14ac:dyDescent="0.25"/>
    <row r="61104" hidden="1" x14ac:dyDescent="0.25"/>
    <row r="61105" hidden="1" x14ac:dyDescent="0.25"/>
    <row r="61106" hidden="1" x14ac:dyDescent="0.25"/>
    <row r="61107" hidden="1" x14ac:dyDescent="0.25"/>
    <row r="61108" hidden="1" x14ac:dyDescent="0.25"/>
    <row r="61109" hidden="1" x14ac:dyDescent="0.25"/>
    <row r="61110" hidden="1" x14ac:dyDescent="0.25"/>
    <row r="61111" hidden="1" x14ac:dyDescent="0.25"/>
    <row r="61112" hidden="1" x14ac:dyDescent="0.25"/>
    <row r="61113" hidden="1" x14ac:dyDescent="0.25"/>
    <row r="61114" hidden="1" x14ac:dyDescent="0.25"/>
    <row r="61115" hidden="1" x14ac:dyDescent="0.25"/>
    <row r="61116" hidden="1" x14ac:dyDescent="0.25"/>
    <row r="61117" hidden="1" x14ac:dyDescent="0.25"/>
    <row r="61118" hidden="1" x14ac:dyDescent="0.25"/>
    <row r="61119" hidden="1" x14ac:dyDescent="0.25"/>
    <row r="61120" hidden="1" x14ac:dyDescent="0.25"/>
    <row r="61121" hidden="1" x14ac:dyDescent="0.25"/>
    <row r="61122" hidden="1" x14ac:dyDescent="0.25"/>
    <row r="61123" hidden="1" x14ac:dyDescent="0.25"/>
    <row r="61124" hidden="1" x14ac:dyDescent="0.25"/>
    <row r="61125" hidden="1" x14ac:dyDescent="0.25"/>
    <row r="61126" hidden="1" x14ac:dyDescent="0.25"/>
    <row r="61127" hidden="1" x14ac:dyDescent="0.25"/>
    <row r="61128" hidden="1" x14ac:dyDescent="0.25"/>
    <row r="61129" hidden="1" x14ac:dyDescent="0.25"/>
    <row r="61130" hidden="1" x14ac:dyDescent="0.25"/>
    <row r="61131" hidden="1" x14ac:dyDescent="0.25"/>
    <row r="61132" hidden="1" x14ac:dyDescent="0.25"/>
    <row r="61133" hidden="1" x14ac:dyDescent="0.25"/>
    <row r="61134" hidden="1" x14ac:dyDescent="0.25"/>
    <row r="61135" hidden="1" x14ac:dyDescent="0.25"/>
    <row r="61136" hidden="1" x14ac:dyDescent="0.25"/>
    <row r="61137" hidden="1" x14ac:dyDescent="0.25"/>
    <row r="61138" hidden="1" x14ac:dyDescent="0.25"/>
    <row r="61139" hidden="1" x14ac:dyDescent="0.25"/>
    <row r="61140" hidden="1" x14ac:dyDescent="0.25"/>
    <row r="61141" hidden="1" x14ac:dyDescent="0.25"/>
    <row r="61142" hidden="1" x14ac:dyDescent="0.25"/>
    <row r="61143" hidden="1" x14ac:dyDescent="0.25"/>
    <row r="61144" hidden="1" x14ac:dyDescent="0.25"/>
    <row r="61145" hidden="1" x14ac:dyDescent="0.25"/>
    <row r="61146" hidden="1" x14ac:dyDescent="0.25"/>
    <row r="61147" hidden="1" x14ac:dyDescent="0.25"/>
    <row r="61148" hidden="1" x14ac:dyDescent="0.25"/>
    <row r="61149" hidden="1" x14ac:dyDescent="0.25"/>
    <row r="61150" hidden="1" x14ac:dyDescent="0.25"/>
    <row r="61151" hidden="1" x14ac:dyDescent="0.25"/>
    <row r="61152" hidden="1" x14ac:dyDescent="0.25"/>
    <row r="61153" hidden="1" x14ac:dyDescent="0.25"/>
    <row r="61154" hidden="1" x14ac:dyDescent="0.25"/>
    <row r="61155" hidden="1" x14ac:dyDescent="0.25"/>
    <row r="61156" hidden="1" x14ac:dyDescent="0.25"/>
    <row r="61157" hidden="1" x14ac:dyDescent="0.25"/>
    <row r="61158" hidden="1" x14ac:dyDescent="0.25"/>
    <row r="61159" hidden="1" x14ac:dyDescent="0.25"/>
    <row r="61160" hidden="1" x14ac:dyDescent="0.25"/>
    <row r="61161" hidden="1" x14ac:dyDescent="0.25"/>
    <row r="61162" hidden="1" x14ac:dyDescent="0.25"/>
    <row r="61163" hidden="1" x14ac:dyDescent="0.25"/>
    <row r="61164" hidden="1" x14ac:dyDescent="0.25"/>
    <row r="61165" hidden="1" x14ac:dyDescent="0.25"/>
    <row r="61166" hidden="1" x14ac:dyDescent="0.25"/>
    <row r="61167" hidden="1" x14ac:dyDescent="0.25"/>
    <row r="61168" hidden="1" x14ac:dyDescent="0.25"/>
    <row r="61169" hidden="1" x14ac:dyDescent="0.25"/>
    <row r="61170" hidden="1" x14ac:dyDescent="0.25"/>
    <row r="61171" hidden="1" x14ac:dyDescent="0.25"/>
    <row r="61172" hidden="1" x14ac:dyDescent="0.25"/>
    <row r="61173" hidden="1" x14ac:dyDescent="0.25"/>
    <row r="61174" hidden="1" x14ac:dyDescent="0.25"/>
    <row r="61175" hidden="1" x14ac:dyDescent="0.25"/>
    <row r="61176" hidden="1" x14ac:dyDescent="0.25"/>
    <row r="61177" hidden="1" x14ac:dyDescent="0.25"/>
    <row r="61178" hidden="1" x14ac:dyDescent="0.25"/>
    <row r="61179" hidden="1" x14ac:dyDescent="0.25"/>
    <row r="61180" hidden="1" x14ac:dyDescent="0.25"/>
    <row r="61181" hidden="1" x14ac:dyDescent="0.25"/>
    <row r="61182" hidden="1" x14ac:dyDescent="0.25"/>
    <row r="61183" hidden="1" x14ac:dyDescent="0.25"/>
    <row r="61184" hidden="1" x14ac:dyDescent="0.25"/>
    <row r="61185" hidden="1" x14ac:dyDescent="0.25"/>
    <row r="61186" hidden="1" x14ac:dyDescent="0.25"/>
    <row r="61187" hidden="1" x14ac:dyDescent="0.25"/>
    <row r="61188" hidden="1" x14ac:dyDescent="0.25"/>
    <row r="61189" hidden="1" x14ac:dyDescent="0.25"/>
    <row r="61190" hidden="1" x14ac:dyDescent="0.25"/>
    <row r="61191" hidden="1" x14ac:dyDescent="0.25"/>
    <row r="61192" hidden="1" x14ac:dyDescent="0.25"/>
    <row r="61193" hidden="1" x14ac:dyDescent="0.25"/>
    <row r="61194" hidden="1" x14ac:dyDescent="0.25"/>
    <row r="61195" hidden="1" x14ac:dyDescent="0.25"/>
    <row r="61196" hidden="1" x14ac:dyDescent="0.25"/>
    <row r="61197" hidden="1" x14ac:dyDescent="0.25"/>
    <row r="61198" hidden="1" x14ac:dyDescent="0.25"/>
    <row r="61199" hidden="1" x14ac:dyDescent="0.25"/>
    <row r="61200" hidden="1" x14ac:dyDescent="0.25"/>
    <row r="61201" hidden="1" x14ac:dyDescent="0.25"/>
    <row r="61202" hidden="1" x14ac:dyDescent="0.25"/>
    <row r="61203" hidden="1" x14ac:dyDescent="0.25"/>
    <row r="61204" hidden="1" x14ac:dyDescent="0.25"/>
    <row r="61205" hidden="1" x14ac:dyDescent="0.25"/>
    <row r="61206" hidden="1" x14ac:dyDescent="0.25"/>
    <row r="61207" hidden="1" x14ac:dyDescent="0.25"/>
    <row r="61208" hidden="1" x14ac:dyDescent="0.25"/>
    <row r="61209" hidden="1" x14ac:dyDescent="0.25"/>
    <row r="61210" hidden="1" x14ac:dyDescent="0.25"/>
    <row r="61211" hidden="1" x14ac:dyDescent="0.25"/>
    <row r="61212" hidden="1" x14ac:dyDescent="0.25"/>
    <row r="61213" hidden="1" x14ac:dyDescent="0.25"/>
    <row r="61214" hidden="1" x14ac:dyDescent="0.25"/>
    <row r="61215" hidden="1" x14ac:dyDescent="0.25"/>
    <row r="61216" hidden="1" x14ac:dyDescent="0.25"/>
    <row r="61217" hidden="1" x14ac:dyDescent="0.25"/>
    <row r="61218" hidden="1" x14ac:dyDescent="0.25"/>
    <row r="61219" hidden="1" x14ac:dyDescent="0.25"/>
    <row r="61220" hidden="1" x14ac:dyDescent="0.25"/>
    <row r="61221" hidden="1" x14ac:dyDescent="0.25"/>
    <row r="61222" hidden="1" x14ac:dyDescent="0.25"/>
    <row r="61223" hidden="1" x14ac:dyDescent="0.25"/>
    <row r="61224" hidden="1" x14ac:dyDescent="0.25"/>
    <row r="61225" hidden="1" x14ac:dyDescent="0.25"/>
    <row r="61226" hidden="1" x14ac:dyDescent="0.25"/>
    <row r="61227" hidden="1" x14ac:dyDescent="0.25"/>
    <row r="61228" hidden="1" x14ac:dyDescent="0.25"/>
    <row r="61229" hidden="1" x14ac:dyDescent="0.25"/>
    <row r="61230" hidden="1" x14ac:dyDescent="0.25"/>
    <row r="61231" hidden="1" x14ac:dyDescent="0.25"/>
    <row r="61232" hidden="1" x14ac:dyDescent="0.25"/>
    <row r="61233" hidden="1" x14ac:dyDescent="0.25"/>
    <row r="61234" hidden="1" x14ac:dyDescent="0.25"/>
    <row r="61235" hidden="1" x14ac:dyDescent="0.25"/>
    <row r="61236" hidden="1" x14ac:dyDescent="0.25"/>
    <row r="61237" hidden="1" x14ac:dyDescent="0.25"/>
    <row r="61238" hidden="1" x14ac:dyDescent="0.25"/>
    <row r="61239" hidden="1" x14ac:dyDescent="0.25"/>
    <row r="61240" hidden="1" x14ac:dyDescent="0.25"/>
    <row r="61241" hidden="1" x14ac:dyDescent="0.25"/>
    <row r="61242" hidden="1" x14ac:dyDescent="0.25"/>
    <row r="61243" hidden="1" x14ac:dyDescent="0.25"/>
    <row r="61244" hidden="1" x14ac:dyDescent="0.25"/>
    <row r="61245" hidden="1" x14ac:dyDescent="0.25"/>
    <row r="61246" hidden="1" x14ac:dyDescent="0.25"/>
    <row r="61247" hidden="1" x14ac:dyDescent="0.25"/>
    <row r="61248" hidden="1" x14ac:dyDescent="0.25"/>
    <row r="61249" hidden="1" x14ac:dyDescent="0.25"/>
    <row r="61250" hidden="1" x14ac:dyDescent="0.25"/>
    <row r="61251" hidden="1" x14ac:dyDescent="0.25"/>
    <row r="61252" hidden="1" x14ac:dyDescent="0.25"/>
    <row r="61253" hidden="1" x14ac:dyDescent="0.25"/>
    <row r="61254" hidden="1" x14ac:dyDescent="0.25"/>
    <row r="61255" hidden="1" x14ac:dyDescent="0.25"/>
    <row r="61256" hidden="1" x14ac:dyDescent="0.25"/>
    <row r="61257" hidden="1" x14ac:dyDescent="0.25"/>
    <row r="61258" hidden="1" x14ac:dyDescent="0.25"/>
    <row r="61259" hidden="1" x14ac:dyDescent="0.25"/>
    <row r="61260" hidden="1" x14ac:dyDescent="0.25"/>
    <row r="61261" hidden="1" x14ac:dyDescent="0.25"/>
    <row r="61262" hidden="1" x14ac:dyDescent="0.25"/>
    <row r="61263" hidden="1" x14ac:dyDescent="0.25"/>
    <row r="61264" hidden="1" x14ac:dyDescent="0.25"/>
    <row r="61265" hidden="1" x14ac:dyDescent="0.25"/>
    <row r="61266" hidden="1" x14ac:dyDescent="0.25"/>
    <row r="61267" hidden="1" x14ac:dyDescent="0.25"/>
    <row r="61268" hidden="1" x14ac:dyDescent="0.25"/>
    <row r="61269" hidden="1" x14ac:dyDescent="0.25"/>
    <row r="61270" hidden="1" x14ac:dyDescent="0.25"/>
    <row r="61271" hidden="1" x14ac:dyDescent="0.25"/>
    <row r="61272" hidden="1" x14ac:dyDescent="0.25"/>
    <row r="61273" hidden="1" x14ac:dyDescent="0.25"/>
    <row r="61274" hidden="1" x14ac:dyDescent="0.25"/>
    <row r="61275" hidden="1" x14ac:dyDescent="0.25"/>
    <row r="61276" hidden="1" x14ac:dyDescent="0.25"/>
    <row r="61277" hidden="1" x14ac:dyDescent="0.25"/>
    <row r="61278" hidden="1" x14ac:dyDescent="0.25"/>
    <row r="61279" hidden="1" x14ac:dyDescent="0.25"/>
    <row r="61280" hidden="1" x14ac:dyDescent="0.25"/>
    <row r="61281" hidden="1" x14ac:dyDescent="0.25"/>
    <row r="61282" hidden="1" x14ac:dyDescent="0.25"/>
    <row r="61283" hidden="1" x14ac:dyDescent="0.25"/>
    <row r="61284" hidden="1" x14ac:dyDescent="0.25"/>
    <row r="61285" hidden="1" x14ac:dyDescent="0.25"/>
    <row r="61286" hidden="1" x14ac:dyDescent="0.25"/>
    <row r="61287" hidden="1" x14ac:dyDescent="0.25"/>
    <row r="61288" hidden="1" x14ac:dyDescent="0.25"/>
    <row r="61289" hidden="1" x14ac:dyDescent="0.25"/>
    <row r="61290" hidden="1" x14ac:dyDescent="0.25"/>
    <row r="61291" hidden="1" x14ac:dyDescent="0.25"/>
    <row r="61292" hidden="1" x14ac:dyDescent="0.25"/>
    <row r="61293" hidden="1" x14ac:dyDescent="0.25"/>
    <row r="61294" hidden="1" x14ac:dyDescent="0.25"/>
    <row r="61295" hidden="1" x14ac:dyDescent="0.25"/>
    <row r="61296" hidden="1" x14ac:dyDescent="0.25"/>
    <row r="61297" hidden="1" x14ac:dyDescent="0.25"/>
    <row r="61298" hidden="1" x14ac:dyDescent="0.25"/>
    <row r="61299" hidden="1" x14ac:dyDescent="0.25"/>
    <row r="61300" hidden="1" x14ac:dyDescent="0.25"/>
    <row r="61301" hidden="1" x14ac:dyDescent="0.25"/>
    <row r="61302" hidden="1" x14ac:dyDescent="0.25"/>
    <row r="61303" hidden="1" x14ac:dyDescent="0.25"/>
    <row r="61304" hidden="1" x14ac:dyDescent="0.25"/>
    <row r="61305" hidden="1" x14ac:dyDescent="0.25"/>
    <row r="61306" hidden="1" x14ac:dyDescent="0.25"/>
    <row r="61307" hidden="1" x14ac:dyDescent="0.25"/>
    <row r="61308" hidden="1" x14ac:dyDescent="0.25"/>
    <row r="61309" hidden="1" x14ac:dyDescent="0.25"/>
    <row r="61310" hidden="1" x14ac:dyDescent="0.25"/>
    <row r="61311" hidden="1" x14ac:dyDescent="0.25"/>
    <row r="61312" hidden="1" x14ac:dyDescent="0.25"/>
    <row r="61313" hidden="1" x14ac:dyDescent="0.25"/>
    <row r="61314" hidden="1" x14ac:dyDescent="0.25"/>
    <row r="61315" hidden="1" x14ac:dyDescent="0.25"/>
    <row r="61316" hidden="1" x14ac:dyDescent="0.25"/>
    <row r="61317" hidden="1" x14ac:dyDescent="0.25"/>
    <row r="61318" hidden="1" x14ac:dyDescent="0.25"/>
    <row r="61319" hidden="1" x14ac:dyDescent="0.25"/>
    <row r="61320" hidden="1" x14ac:dyDescent="0.25"/>
    <row r="61321" hidden="1" x14ac:dyDescent="0.25"/>
    <row r="61322" hidden="1" x14ac:dyDescent="0.25"/>
    <row r="61323" hidden="1" x14ac:dyDescent="0.25"/>
    <row r="61324" hidden="1" x14ac:dyDescent="0.25"/>
    <row r="61325" hidden="1" x14ac:dyDescent="0.25"/>
    <row r="61326" hidden="1" x14ac:dyDescent="0.25"/>
    <row r="61327" hidden="1" x14ac:dyDescent="0.25"/>
    <row r="61328" hidden="1" x14ac:dyDescent="0.25"/>
    <row r="61329" hidden="1" x14ac:dyDescent="0.25"/>
    <row r="61330" hidden="1" x14ac:dyDescent="0.25"/>
    <row r="61331" hidden="1" x14ac:dyDescent="0.25"/>
    <row r="61332" hidden="1" x14ac:dyDescent="0.25"/>
    <row r="61333" hidden="1" x14ac:dyDescent="0.25"/>
    <row r="61334" hidden="1" x14ac:dyDescent="0.25"/>
    <row r="61335" hidden="1" x14ac:dyDescent="0.25"/>
    <row r="61336" hidden="1" x14ac:dyDescent="0.25"/>
    <row r="61337" hidden="1" x14ac:dyDescent="0.25"/>
    <row r="61338" hidden="1" x14ac:dyDescent="0.25"/>
    <row r="61339" hidden="1" x14ac:dyDescent="0.25"/>
    <row r="61340" hidden="1" x14ac:dyDescent="0.25"/>
    <row r="61341" hidden="1" x14ac:dyDescent="0.25"/>
    <row r="61342" hidden="1" x14ac:dyDescent="0.25"/>
    <row r="61343" hidden="1" x14ac:dyDescent="0.25"/>
    <row r="61344" hidden="1" x14ac:dyDescent="0.25"/>
    <row r="61345" hidden="1" x14ac:dyDescent="0.25"/>
    <row r="61346" hidden="1" x14ac:dyDescent="0.25"/>
    <row r="61347" hidden="1" x14ac:dyDescent="0.25"/>
    <row r="61348" hidden="1" x14ac:dyDescent="0.25"/>
    <row r="61349" hidden="1" x14ac:dyDescent="0.25"/>
    <row r="61350" hidden="1" x14ac:dyDescent="0.25"/>
    <row r="61351" hidden="1" x14ac:dyDescent="0.25"/>
    <row r="61352" hidden="1" x14ac:dyDescent="0.25"/>
    <row r="61353" hidden="1" x14ac:dyDescent="0.25"/>
    <row r="61354" hidden="1" x14ac:dyDescent="0.25"/>
    <row r="61355" hidden="1" x14ac:dyDescent="0.25"/>
    <row r="61356" hidden="1" x14ac:dyDescent="0.25"/>
    <row r="61357" hidden="1" x14ac:dyDescent="0.25"/>
    <row r="61358" hidden="1" x14ac:dyDescent="0.25"/>
    <row r="61359" hidden="1" x14ac:dyDescent="0.25"/>
    <row r="61360" hidden="1" x14ac:dyDescent="0.25"/>
    <row r="61361" hidden="1" x14ac:dyDescent="0.25"/>
    <row r="61362" hidden="1" x14ac:dyDescent="0.25"/>
    <row r="61363" hidden="1" x14ac:dyDescent="0.25"/>
    <row r="61364" hidden="1" x14ac:dyDescent="0.25"/>
    <row r="61365" hidden="1" x14ac:dyDescent="0.25"/>
    <row r="61366" hidden="1" x14ac:dyDescent="0.25"/>
    <row r="61367" hidden="1" x14ac:dyDescent="0.25"/>
    <row r="61368" hidden="1" x14ac:dyDescent="0.25"/>
    <row r="61369" hidden="1" x14ac:dyDescent="0.25"/>
    <row r="61370" hidden="1" x14ac:dyDescent="0.25"/>
    <row r="61371" hidden="1" x14ac:dyDescent="0.25"/>
    <row r="61372" hidden="1" x14ac:dyDescent="0.25"/>
    <row r="61373" hidden="1" x14ac:dyDescent="0.25"/>
    <row r="61374" hidden="1" x14ac:dyDescent="0.25"/>
    <row r="61375" hidden="1" x14ac:dyDescent="0.25"/>
    <row r="61376" hidden="1" x14ac:dyDescent="0.25"/>
    <row r="61377" hidden="1" x14ac:dyDescent="0.25"/>
    <row r="61378" hidden="1" x14ac:dyDescent="0.25"/>
    <row r="61379" hidden="1" x14ac:dyDescent="0.25"/>
    <row r="61380" hidden="1" x14ac:dyDescent="0.25"/>
    <row r="61381" hidden="1" x14ac:dyDescent="0.25"/>
    <row r="61382" hidden="1" x14ac:dyDescent="0.25"/>
    <row r="61383" hidden="1" x14ac:dyDescent="0.25"/>
    <row r="61384" hidden="1" x14ac:dyDescent="0.25"/>
    <row r="61385" hidden="1" x14ac:dyDescent="0.25"/>
    <row r="61386" hidden="1" x14ac:dyDescent="0.25"/>
    <row r="61387" hidden="1" x14ac:dyDescent="0.25"/>
    <row r="61388" hidden="1" x14ac:dyDescent="0.25"/>
    <row r="61389" hidden="1" x14ac:dyDescent="0.25"/>
    <row r="61390" hidden="1" x14ac:dyDescent="0.25"/>
    <row r="61391" hidden="1" x14ac:dyDescent="0.25"/>
    <row r="61392" hidden="1" x14ac:dyDescent="0.25"/>
    <row r="61393" hidden="1" x14ac:dyDescent="0.25"/>
    <row r="61394" hidden="1" x14ac:dyDescent="0.25"/>
    <row r="61395" hidden="1" x14ac:dyDescent="0.25"/>
    <row r="61396" hidden="1" x14ac:dyDescent="0.25"/>
    <row r="61397" hidden="1" x14ac:dyDescent="0.25"/>
    <row r="61398" hidden="1" x14ac:dyDescent="0.25"/>
    <row r="61399" hidden="1" x14ac:dyDescent="0.25"/>
    <row r="61400" hidden="1" x14ac:dyDescent="0.25"/>
    <row r="61401" hidden="1" x14ac:dyDescent="0.25"/>
    <row r="61402" hidden="1" x14ac:dyDescent="0.25"/>
    <row r="61403" hidden="1" x14ac:dyDescent="0.25"/>
    <row r="61404" hidden="1" x14ac:dyDescent="0.25"/>
    <row r="61405" hidden="1" x14ac:dyDescent="0.25"/>
    <row r="61406" hidden="1" x14ac:dyDescent="0.25"/>
    <row r="61407" hidden="1" x14ac:dyDescent="0.25"/>
    <row r="61408" hidden="1" x14ac:dyDescent="0.25"/>
    <row r="61409" hidden="1" x14ac:dyDescent="0.25"/>
    <row r="61410" hidden="1" x14ac:dyDescent="0.25"/>
    <row r="61411" hidden="1" x14ac:dyDescent="0.25"/>
    <row r="61412" hidden="1" x14ac:dyDescent="0.25"/>
    <row r="61413" hidden="1" x14ac:dyDescent="0.25"/>
    <row r="61414" hidden="1" x14ac:dyDescent="0.25"/>
    <row r="61415" hidden="1" x14ac:dyDescent="0.25"/>
    <row r="61416" hidden="1" x14ac:dyDescent="0.25"/>
    <row r="61417" hidden="1" x14ac:dyDescent="0.25"/>
    <row r="61418" hidden="1" x14ac:dyDescent="0.25"/>
    <row r="61419" hidden="1" x14ac:dyDescent="0.25"/>
    <row r="61420" hidden="1" x14ac:dyDescent="0.25"/>
    <row r="61421" hidden="1" x14ac:dyDescent="0.25"/>
    <row r="61422" hidden="1" x14ac:dyDescent="0.25"/>
    <row r="61423" hidden="1" x14ac:dyDescent="0.25"/>
    <row r="61424" hidden="1" x14ac:dyDescent="0.25"/>
    <row r="61425" hidden="1" x14ac:dyDescent="0.25"/>
    <row r="61426" hidden="1" x14ac:dyDescent="0.25"/>
    <row r="61427" hidden="1" x14ac:dyDescent="0.25"/>
    <row r="61428" hidden="1" x14ac:dyDescent="0.25"/>
    <row r="61429" hidden="1" x14ac:dyDescent="0.25"/>
    <row r="61430" hidden="1" x14ac:dyDescent="0.25"/>
    <row r="61431" hidden="1" x14ac:dyDescent="0.25"/>
    <row r="61432" hidden="1" x14ac:dyDescent="0.25"/>
    <row r="61433" hidden="1" x14ac:dyDescent="0.25"/>
    <row r="61434" hidden="1" x14ac:dyDescent="0.25"/>
    <row r="61435" hidden="1" x14ac:dyDescent="0.25"/>
    <row r="61436" hidden="1" x14ac:dyDescent="0.25"/>
    <row r="61437" hidden="1" x14ac:dyDescent="0.25"/>
    <row r="61438" hidden="1" x14ac:dyDescent="0.25"/>
    <row r="61439" hidden="1" x14ac:dyDescent="0.25"/>
    <row r="61440" hidden="1" x14ac:dyDescent="0.25"/>
    <row r="61441" hidden="1" x14ac:dyDescent="0.25"/>
    <row r="61442" hidden="1" x14ac:dyDescent="0.25"/>
    <row r="61443" hidden="1" x14ac:dyDescent="0.25"/>
    <row r="61444" hidden="1" x14ac:dyDescent="0.25"/>
    <row r="61445" hidden="1" x14ac:dyDescent="0.25"/>
    <row r="61446" hidden="1" x14ac:dyDescent="0.25"/>
    <row r="61447" hidden="1" x14ac:dyDescent="0.25"/>
    <row r="61448" hidden="1" x14ac:dyDescent="0.25"/>
    <row r="61449" hidden="1" x14ac:dyDescent="0.25"/>
    <row r="61450" hidden="1" x14ac:dyDescent="0.25"/>
    <row r="61451" hidden="1" x14ac:dyDescent="0.25"/>
    <row r="61452" hidden="1" x14ac:dyDescent="0.25"/>
    <row r="61453" hidden="1" x14ac:dyDescent="0.25"/>
    <row r="61454" hidden="1" x14ac:dyDescent="0.25"/>
    <row r="61455" hidden="1" x14ac:dyDescent="0.25"/>
    <row r="61456" hidden="1" x14ac:dyDescent="0.25"/>
    <row r="61457" hidden="1" x14ac:dyDescent="0.25"/>
    <row r="61458" hidden="1" x14ac:dyDescent="0.25"/>
    <row r="61459" hidden="1" x14ac:dyDescent="0.25"/>
    <row r="61460" hidden="1" x14ac:dyDescent="0.25"/>
    <row r="61461" hidden="1" x14ac:dyDescent="0.25"/>
    <row r="61462" hidden="1" x14ac:dyDescent="0.25"/>
    <row r="61463" hidden="1" x14ac:dyDescent="0.25"/>
    <row r="61464" hidden="1" x14ac:dyDescent="0.25"/>
    <row r="61465" hidden="1" x14ac:dyDescent="0.25"/>
    <row r="61466" hidden="1" x14ac:dyDescent="0.25"/>
    <row r="61467" hidden="1" x14ac:dyDescent="0.25"/>
    <row r="61468" hidden="1" x14ac:dyDescent="0.25"/>
    <row r="61469" hidden="1" x14ac:dyDescent="0.25"/>
    <row r="61470" hidden="1" x14ac:dyDescent="0.25"/>
    <row r="61471" hidden="1" x14ac:dyDescent="0.25"/>
    <row r="61472" hidden="1" x14ac:dyDescent="0.25"/>
    <row r="61473" hidden="1" x14ac:dyDescent="0.25"/>
    <row r="61474" hidden="1" x14ac:dyDescent="0.25"/>
    <row r="61475" hidden="1" x14ac:dyDescent="0.25"/>
    <row r="61476" hidden="1" x14ac:dyDescent="0.25"/>
    <row r="61477" hidden="1" x14ac:dyDescent="0.25"/>
    <row r="61478" hidden="1" x14ac:dyDescent="0.25"/>
    <row r="61479" hidden="1" x14ac:dyDescent="0.25"/>
    <row r="61480" hidden="1" x14ac:dyDescent="0.25"/>
    <row r="61481" hidden="1" x14ac:dyDescent="0.25"/>
    <row r="61482" hidden="1" x14ac:dyDescent="0.25"/>
    <row r="61483" hidden="1" x14ac:dyDescent="0.25"/>
    <row r="61484" hidden="1" x14ac:dyDescent="0.25"/>
    <row r="61485" hidden="1" x14ac:dyDescent="0.25"/>
    <row r="61486" hidden="1" x14ac:dyDescent="0.25"/>
    <row r="61487" hidden="1" x14ac:dyDescent="0.25"/>
    <row r="61488" hidden="1" x14ac:dyDescent="0.25"/>
    <row r="61489" hidden="1" x14ac:dyDescent="0.25"/>
    <row r="61490" hidden="1" x14ac:dyDescent="0.25"/>
    <row r="61491" hidden="1" x14ac:dyDescent="0.25"/>
    <row r="61492" hidden="1" x14ac:dyDescent="0.25"/>
    <row r="61493" hidden="1" x14ac:dyDescent="0.25"/>
    <row r="61494" hidden="1" x14ac:dyDescent="0.25"/>
    <row r="61495" hidden="1" x14ac:dyDescent="0.25"/>
    <row r="61496" hidden="1" x14ac:dyDescent="0.25"/>
    <row r="61497" hidden="1" x14ac:dyDescent="0.25"/>
    <row r="61498" hidden="1" x14ac:dyDescent="0.25"/>
    <row r="61499" hidden="1" x14ac:dyDescent="0.25"/>
    <row r="61500" hidden="1" x14ac:dyDescent="0.25"/>
    <row r="61501" hidden="1" x14ac:dyDescent="0.25"/>
    <row r="61502" hidden="1" x14ac:dyDescent="0.25"/>
    <row r="61503" hidden="1" x14ac:dyDescent="0.25"/>
    <row r="61504" hidden="1" x14ac:dyDescent="0.25"/>
    <row r="61505" hidden="1" x14ac:dyDescent="0.25"/>
    <row r="61506" hidden="1" x14ac:dyDescent="0.25"/>
    <row r="61507" hidden="1" x14ac:dyDescent="0.25"/>
    <row r="61508" hidden="1" x14ac:dyDescent="0.25"/>
    <row r="61509" hidden="1" x14ac:dyDescent="0.25"/>
    <row r="61510" hidden="1" x14ac:dyDescent="0.25"/>
    <row r="61511" hidden="1" x14ac:dyDescent="0.25"/>
    <row r="61512" hidden="1" x14ac:dyDescent="0.25"/>
    <row r="61513" hidden="1" x14ac:dyDescent="0.25"/>
    <row r="61514" hidden="1" x14ac:dyDescent="0.25"/>
    <row r="61515" hidden="1" x14ac:dyDescent="0.25"/>
    <row r="61516" hidden="1" x14ac:dyDescent="0.25"/>
    <row r="61517" hidden="1" x14ac:dyDescent="0.25"/>
    <row r="61518" hidden="1" x14ac:dyDescent="0.25"/>
    <row r="61519" hidden="1" x14ac:dyDescent="0.25"/>
    <row r="61520" hidden="1" x14ac:dyDescent="0.25"/>
    <row r="61521" hidden="1" x14ac:dyDescent="0.25"/>
    <row r="61522" hidden="1" x14ac:dyDescent="0.25"/>
    <row r="61523" hidden="1" x14ac:dyDescent="0.25"/>
    <row r="61524" hidden="1" x14ac:dyDescent="0.25"/>
    <row r="61525" hidden="1" x14ac:dyDescent="0.25"/>
    <row r="61526" hidden="1" x14ac:dyDescent="0.25"/>
    <row r="61527" hidden="1" x14ac:dyDescent="0.25"/>
    <row r="61528" hidden="1" x14ac:dyDescent="0.25"/>
    <row r="61529" hidden="1" x14ac:dyDescent="0.25"/>
    <row r="61530" hidden="1" x14ac:dyDescent="0.25"/>
    <row r="61531" hidden="1" x14ac:dyDescent="0.25"/>
    <row r="61532" hidden="1" x14ac:dyDescent="0.25"/>
    <row r="61533" hidden="1" x14ac:dyDescent="0.25"/>
    <row r="61534" hidden="1" x14ac:dyDescent="0.25"/>
    <row r="61535" hidden="1" x14ac:dyDescent="0.25"/>
    <row r="61536" hidden="1" x14ac:dyDescent="0.25"/>
    <row r="61537" hidden="1" x14ac:dyDescent="0.25"/>
    <row r="61538" hidden="1" x14ac:dyDescent="0.25"/>
    <row r="61539" hidden="1" x14ac:dyDescent="0.25"/>
    <row r="61540" hidden="1" x14ac:dyDescent="0.25"/>
    <row r="61541" hidden="1" x14ac:dyDescent="0.25"/>
    <row r="61542" hidden="1" x14ac:dyDescent="0.25"/>
    <row r="61543" hidden="1" x14ac:dyDescent="0.25"/>
    <row r="61544" hidden="1" x14ac:dyDescent="0.25"/>
    <row r="61545" hidden="1" x14ac:dyDescent="0.25"/>
    <row r="61546" hidden="1" x14ac:dyDescent="0.25"/>
    <row r="61547" hidden="1" x14ac:dyDescent="0.25"/>
    <row r="61548" hidden="1" x14ac:dyDescent="0.25"/>
    <row r="61549" hidden="1" x14ac:dyDescent="0.25"/>
    <row r="61550" hidden="1" x14ac:dyDescent="0.25"/>
    <row r="61551" hidden="1" x14ac:dyDescent="0.25"/>
    <row r="61552" hidden="1" x14ac:dyDescent="0.25"/>
    <row r="61553" hidden="1" x14ac:dyDescent="0.25"/>
    <row r="61554" hidden="1" x14ac:dyDescent="0.25"/>
    <row r="61555" hidden="1" x14ac:dyDescent="0.25"/>
    <row r="61556" hidden="1" x14ac:dyDescent="0.25"/>
    <row r="61557" hidden="1" x14ac:dyDescent="0.25"/>
    <row r="61558" hidden="1" x14ac:dyDescent="0.25"/>
    <row r="61559" hidden="1" x14ac:dyDescent="0.25"/>
    <row r="61560" hidden="1" x14ac:dyDescent="0.25"/>
    <row r="61561" hidden="1" x14ac:dyDescent="0.25"/>
    <row r="61562" hidden="1" x14ac:dyDescent="0.25"/>
    <row r="61563" hidden="1" x14ac:dyDescent="0.25"/>
    <row r="61564" hidden="1" x14ac:dyDescent="0.25"/>
    <row r="61565" hidden="1" x14ac:dyDescent="0.25"/>
    <row r="61566" hidden="1" x14ac:dyDescent="0.25"/>
    <row r="61567" hidden="1" x14ac:dyDescent="0.25"/>
    <row r="61568" hidden="1" x14ac:dyDescent="0.25"/>
    <row r="61569" hidden="1" x14ac:dyDescent="0.25"/>
    <row r="61570" hidden="1" x14ac:dyDescent="0.25"/>
    <row r="61571" hidden="1" x14ac:dyDescent="0.25"/>
    <row r="61572" hidden="1" x14ac:dyDescent="0.25"/>
    <row r="61573" hidden="1" x14ac:dyDescent="0.25"/>
    <row r="61574" hidden="1" x14ac:dyDescent="0.25"/>
    <row r="61575" hidden="1" x14ac:dyDescent="0.25"/>
    <row r="61576" hidden="1" x14ac:dyDescent="0.25"/>
    <row r="61577" hidden="1" x14ac:dyDescent="0.25"/>
    <row r="61578" hidden="1" x14ac:dyDescent="0.25"/>
    <row r="61579" hidden="1" x14ac:dyDescent="0.25"/>
    <row r="61580" hidden="1" x14ac:dyDescent="0.25"/>
    <row r="61581" hidden="1" x14ac:dyDescent="0.25"/>
    <row r="61582" hidden="1" x14ac:dyDescent="0.25"/>
    <row r="61583" hidden="1" x14ac:dyDescent="0.25"/>
    <row r="61584" hidden="1" x14ac:dyDescent="0.25"/>
    <row r="61585" hidden="1" x14ac:dyDescent="0.25"/>
    <row r="61586" hidden="1" x14ac:dyDescent="0.25"/>
    <row r="61587" hidden="1" x14ac:dyDescent="0.25"/>
    <row r="61588" hidden="1" x14ac:dyDescent="0.25"/>
    <row r="61589" hidden="1" x14ac:dyDescent="0.25"/>
    <row r="61590" hidden="1" x14ac:dyDescent="0.25"/>
    <row r="61591" hidden="1" x14ac:dyDescent="0.25"/>
    <row r="61592" hidden="1" x14ac:dyDescent="0.25"/>
    <row r="61593" hidden="1" x14ac:dyDescent="0.25"/>
    <row r="61594" hidden="1" x14ac:dyDescent="0.25"/>
    <row r="61595" hidden="1" x14ac:dyDescent="0.25"/>
    <row r="61596" hidden="1" x14ac:dyDescent="0.25"/>
    <row r="61597" hidden="1" x14ac:dyDescent="0.25"/>
    <row r="61598" hidden="1" x14ac:dyDescent="0.25"/>
    <row r="61599" hidden="1" x14ac:dyDescent="0.25"/>
    <row r="61600" hidden="1" x14ac:dyDescent="0.25"/>
    <row r="61601" hidden="1" x14ac:dyDescent="0.25"/>
    <row r="61602" hidden="1" x14ac:dyDescent="0.25"/>
    <row r="61603" hidden="1" x14ac:dyDescent="0.25"/>
    <row r="61604" hidden="1" x14ac:dyDescent="0.25"/>
    <row r="61605" hidden="1" x14ac:dyDescent="0.25"/>
    <row r="61606" hidden="1" x14ac:dyDescent="0.25"/>
    <row r="61607" hidden="1" x14ac:dyDescent="0.25"/>
    <row r="61608" hidden="1" x14ac:dyDescent="0.25"/>
    <row r="61609" hidden="1" x14ac:dyDescent="0.25"/>
    <row r="61610" hidden="1" x14ac:dyDescent="0.25"/>
    <row r="61611" hidden="1" x14ac:dyDescent="0.25"/>
    <row r="61612" hidden="1" x14ac:dyDescent="0.25"/>
    <row r="61613" hidden="1" x14ac:dyDescent="0.25"/>
    <row r="61614" hidden="1" x14ac:dyDescent="0.25"/>
    <row r="61615" hidden="1" x14ac:dyDescent="0.25"/>
    <row r="61616" hidden="1" x14ac:dyDescent="0.25"/>
    <row r="61617" hidden="1" x14ac:dyDescent="0.25"/>
    <row r="61618" hidden="1" x14ac:dyDescent="0.25"/>
    <row r="61619" hidden="1" x14ac:dyDescent="0.25"/>
    <row r="61620" hidden="1" x14ac:dyDescent="0.25"/>
    <row r="61621" hidden="1" x14ac:dyDescent="0.25"/>
    <row r="61622" hidden="1" x14ac:dyDescent="0.25"/>
    <row r="61623" hidden="1" x14ac:dyDescent="0.25"/>
    <row r="61624" hidden="1" x14ac:dyDescent="0.25"/>
    <row r="61625" hidden="1" x14ac:dyDescent="0.25"/>
    <row r="61626" hidden="1" x14ac:dyDescent="0.25"/>
    <row r="61627" hidden="1" x14ac:dyDescent="0.25"/>
    <row r="61628" hidden="1" x14ac:dyDescent="0.25"/>
    <row r="61629" hidden="1" x14ac:dyDescent="0.25"/>
    <row r="61630" hidden="1" x14ac:dyDescent="0.25"/>
    <row r="61631" hidden="1" x14ac:dyDescent="0.25"/>
    <row r="61632" hidden="1" x14ac:dyDescent="0.25"/>
    <row r="61633" hidden="1" x14ac:dyDescent="0.25"/>
    <row r="61634" hidden="1" x14ac:dyDescent="0.25"/>
    <row r="61635" hidden="1" x14ac:dyDescent="0.25"/>
    <row r="61636" hidden="1" x14ac:dyDescent="0.25"/>
    <row r="61637" hidden="1" x14ac:dyDescent="0.25"/>
    <row r="61638" hidden="1" x14ac:dyDescent="0.25"/>
    <row r="61639" hidden="1" x14ac:dyDescent="0.25"/>
    <row r="61640" hidden="1" x14ac:dyDescent="0.25"/>
    <row r="61641" hidden="1" x14ac:dyDescent="0.25"/>
    <row r="61642" hidden="1" x14ac:dyDescent="0.25"/>
    <row r="61643" hidden="1" x14ac:dyDescent="0.25"/>
    <row r="61644" hidden="1" x14ac:dyDescent="0.25"/>
    <row r="61645" hidden="1" x14ac:dyDescent="0.25"/>
    <row r="61646" hidden="1" x14ac:dyDescent="0.25"/>
    <row r="61647" hidden="1" x14ac:dyDescent="0.25"/>
    <row r="61648" hidden="1" x14ac:dyDescent="0.25"/>
    <row r="61649" hidden="1" x14ac:dyDescent="0.25"/>
    <row r="61650" hidden="1" x14ac:dyDescent="0.25"/>
    <row r="61651" hidden="1" x14ac:dyDescent="0.25"/>
    <row r="61652" hidden="1" x14ac:dyDescent="0.25"/>
    <row r="61653" hidden="1" x14ac:dyDescent="0.25"/>
    <row r="61654" hidden="1" x14ac:dyDescent="0.25"/>
    <row r="61655" hidden="1" x14ac:dyDescent="0.25"/>
    <row r="61656" hidden="1" x14ac:dyDescent="0.25"/>
    <row r="61657" hidden="1" x14ac:dyDescent="0.25"/>
    <row r="61658" hidden="1" x14ac:dyDescent="0.25"/>
    <row r="61659" hidden="1" x14ac:dyDescent="0.25"/>
    <row r="61660" hidden="1" x14ac:dyDescent="0.25"/>
    <row r="61661" hidden="1" x14ac:dyDescent="0.25"/>
    <row r="61662" hidden="1" x14ac:dyDescent="0.25"/>
    <row r="61663" hidden="1" x14ac:dyDescent="0.25"/>
    <row r="61664" hidden="1" x14ac:dyDescent="0.25"/>
    <row r="61665" hidden="1" x14ac:dyDescent="0.25"/>
    <row r="61666" hidden="1" x14ac:dyDescent="0.25"/>
    <row r="61667" hidden="1" x14ac:dyDescent="0.25"/>
    <row r="61668" hidden="1" x14ac:dyDescent="0.25"/>
    <row r="61669" hidden="1" x14ac:dyDescent="0.25"/>
    <row r="61670" hidden="1" x14ac:dyDescent="0.25"/>
    <row r="61671" hidden="1" x14ac:dyDescent="0.25"/>
    <row r="61672" hidden="1" x14ac:dyDescent="0.25"/>
    <row r="61673" hidden="1" x14ac:dyDescent="0.25"/>
    <row r="61674" hidden="1" x14ac:dyDescent="0.25"/>
    <row r="61675" hidden="1" x14ac:dyDescent="0.25"/>
    <row r="61676" hidden="1" x14ac:dyDescent="0.25"/>
    <row r="61677" hidden="1" x14ac:dyDescent="0.25"/>
    <row r="61678" hidden="1" x14ac:dyDescent="0.25"/>
    <row r="61679" hidden="1" x14ac:dyDescent="0.25"/>
    <row r="61680" hidden="1" x14ac:dyDescent="0.25"/>
    <row r="61681" hidden="1" x14ac:dyDescent="0.25"/>
    <row r="61682" hidden="1" x14ac:dyDescent="0.25"/>
    <row r="61683" hidden="1" x14ac:dyDescent="0.25"/>
    <row r="61684" hidden="1" x14ac:dyDescent="0.25"/>
    <row r="61685" hidden="1" x14ac:dyDescent="0.25"/>
    <row r="61686" hidden="1" x14ac:dyDescent="0.25"/>
    <row r="61687" hidden="1" x14ac:dyDescent="0.25"/>
    <row r="61688" hidden="1" x14ac:dyDescent="0.25"/>
    <row r="61689" hidden="1" x14ac:dyDescent="0.25"/>
    <row r="61690" hidden="1" x14ac:dyDescent="0.25"/>
    <row r="61691" hidden="1" x14ac:dyDescent="0.25"/>
    <row r="61692" hidden="1" x14ac:dyDescent="0.25"/>
    <row r="61693" hidden="1" x14ac:dyDescent="0.25"/>
    <row r="61694" hidden="1" x14ac:dyDescent="0.25"/>
    <row r="61695" hidden="1" x14ac:dyDescent="0.25"/>
    <row r="61696" hidden="1" x14ac:dyDescent="0.25"/>
    <row r="61697" hidden="1" x14ac:dyDescent="0.25"/>
    <row r="61698" hidden="1" x14ac:dyDescent="0.25"/>
    <row r="61699" hidden="1" x14ac:dyDescent="0.25"/>
    <row r="61700" hidden="1" x14ac:dyDescent="0.25"/>
    <row r="61701" hidden="1" x14ac:dyDescent="0.25"/>
    <row r="61702" hidden="1" x14ac:dyDescent="0.25"/>
    <row r="61703" hidden="1" x14ac:dyDescent="0.25"/>
    <row r="61704" hidden="1" x14ac:dyDescent="0.25"/>
    <row r="61705" hidden="1" x14ac:dyDescent="0.25"/>
    <row r="61706" hidden="1" x14ac:dyDescent="0.25"/>
    <row r="61707" hidden="1" x14ac:dyDescent="0.25"/>
    <row r="61708" hidden="1" x14ac:dyDescent="0.25"/>
    <row r="61709" hidden="1" x14ac:dyDescent="0.25"/>
    <row r="61710" hidden="1" x14ac:dyDescent="0.25"/>
    <row r="61711" hidden="1" x14ac:dyDescent="0.25"/>
    <row r="61712" hidden="1" x14ac:dyDescent="0.25"/>
    <row r="61713" hidden="1" x14ac:dyDescent="0.25"/>
    <row r="61714" hidden="1" x14ac:dyDescent="0.25"/>
    <row r="61715" hidden="1" x14ac:dyDescent="0.25"/>
    <row r="61716" hidden="1" x14ac:dyDescent="0.25"/>
    <row r="61717" hidden="1" x14ac:dyDescent="0.25"/>
    <row r="61718" hidden="1" x14ac:dyDescent="0.25"/>
    <row r="61719" hidden="1" x14ac:dyDescent="0.25"/>
    <row r="61720" hidden="1" x14ac:dyDescent="0.25"/>
    <row r="61721" hidden="1" x14ac:dyDescent="0.25"/>
    <row r="61722" hidden="1" x14ac:dyDescent="0.25"/>
    <row r="61723" hidden="1" x14ac:dyDescent="0.25"/>
    <row r="61724" hidden="1" x14ac:dyDescent="0.25"/>
    <row r="61725" hidden="1" x14ac:dyDescent="0.25"/>
    <row r="61726" hidden="1" x14ac:dyDescent="0.25"/>
    <row r="61727" hidden="1" x14ac:dyDescent="0.25"/>
    <row r="61728" hidden="1" x14ac:dyDescent="0.25"/>
    <row r="61729" hidden="1" x14ac:dyDescent="0.25"/>
    <row r="61730" hidden="1" x14ac:dyDescent="0.25"/>
    <row r="61731" hidden="1" x14ac:dyDescent="0.25"/>
    <row r="61732" hidden="1" x14ac:dyDescent="0.25"/>
    <row r="61733" hidden="1" x14ac:dyDescent="0.25"/>
    <row r="61734" hidden="1" x14ac:dyDescent="0.25"/>
    <row r="61735" hidden="1" x14ac:dyDescent="0.25"/>
    <row r="61736" hidden="1" x14ac:dyDescent="0.25"/>
    <row r="61737" hidden="1" x14ac:dyDescent="0.25"/>
    <row r="61738" hidden="1" x14ac:dyDescent="0.25"/>
    <row r="61739" hidden="1" x14ac:dyDescent="0.25"/>
    <row r="61740" hidden="1" x14ac:dyDescent="0.25"/>
    <row r="61741" hidden="1" x14ac:dyDescent="0.25"/>
    <row r="61742" hidden="1" x14ac:dyDescent="0.25"/>
    <row r="61743" hidden="1" x14ac:dyDescent="0.25"/>
    <row r="61744" hidden="1" x14ac:dyDescent="0.25"/>
    <row r="61745" hidden="1" x14ac:dyDescent="0.25"/>
    <row r="61746" hidden="1" x14ac:dyDescent="0.25"/>
    <row r="61747" hidden="1" x14ac:dyDescent="0.25"/>
    <row r="61748" hidden="1" x14ac:dyDescent="0.25"/>
    <row r="61749" hidden="1" x14ac:dyDescent="0.25"/>
    <row r="61750" hidden="1" x14ac:dyDescent="0.25"/>
    <row r="61751" hidden="1" x14ac:dyDescent="0.25"/>
    <row r="61752" hidden="1" x14ac:dyDescent="0.25"/>
    <row r="61753" hidden="1" x14ac:dyDescent="0.25"/>
    <row r="61754" hidden="1" x14ac:dyDescent="0.25"/>
    <row r="61755" hidden="1" x14ac:dyDescent="0.25"/>
    <row r="61756" hidden="1" x14ac:dyDescent="0.25"/>
    <row r="61757" hidden="1" x14ac:dyDescent="0.25"/>
    <row r="61758" hidden="1" x14ac:dyDescent="0.25"/>
    <row r="61759" hidden="1" x14ac:dyDescent="0.25"/>
    <row r="61760" hidden="1" x14ac:dyDescent="0.25"/>
    <row r="61761" hidden="1" x14ac:dyDescent="0.25"/>
    <row r="61762" hidden="1" x14ac:dyDescent="0.25"/>
    <row r="61763" hidden="1" x14ac:dyDescent="0.25"/>
    <row r="61764" hidden="1" x14ac:dyDescent="0.25"/>
    <row r="61765" hidden="1" x14ac:dyDescent="0.25"/>
    <row r="61766" hidden="1" x14ac:dyDescent="0.25"/>
    <row r="61767" hidden="1" x14ac:dyDescent="0.25"/>
    <row r="61768" hidden="1" x14ac:dyDescent="0.25"/>
    <row r="61769" hidden="1" x14ac:dyDescent="0.25"/>
    <row r="61770" hidden="1" x14ac:dyDescent="0.25"/>
    <row r="61771" hidden="1" x14ac:dyDescent="0.25"/>
    <row r="61772" hidden="1" x14ac:dyDescent="0.25"/>
    <row r="61773" hidden="1" x14ac:dyDescent="0.25"/>
    <row r="61774" hidden="1" x14ac:dyDescent="0.25"/>
    <row r="61775" hidden="1" x14ac:dyDescent="0.25"/>
    <row r="61776" hidden="1" x14ac:dyDescent="0.25"/>
    <row r="61777" hidden="1" x14ac:dyDescent="0.25"/>
    <row r="61778" hidden="1" x14ac:dyDescent="0.25"/>
    <row r="61779" hidden="1" x14ac:dyDescent="0.25"/>
    <row r="61780" hidden="1" x14ac:dyDescent="0.25"/>
    <row r="61781" hidden="1" x14ac:dyDescent="0.25"/>
    <row r="61782" hidden="1" x14ac:dyDescent="0.25"/>
    <row r="61783" hidden="1" x14ac:dyDescent="0.25"/>
    <row r="61784" hidden="1" x14ac:dyDescent="0.25"/>
    <row r="61785" hidden="1" x14ac:dyDescent="0.25"/>
    <row r="61786" hidden="1" x14ac:dyDescent="0.25"/>
    <row r="61787" hidden="1" x14ac:dyDescent="0.25"/>
    <row r="61788" hidden="1" x14ac:dyDescent="0.25"/>
    <row r="61789" hidden="1" x14ac:dyDescent="0.25"/>
    <row r="61790" hidden="1" x14ac:dyDescent="0.25"/>
    <row r="61791" hidden="1" x14ac:dyDescent="0.25"/>
    <row r="61792" hidden="1" x14ac:dyDescent="0.25"/>
    <row r="61793" hidden="1" x14ac:dyDescent="0.25"/>
    <row r="61794" hidden="1" x14ac:dyDescent="0.25"/>
    <row r="61795" hidden="1" x14ac:dyDescent="0.25"/>
    <row r="61796" hidden="1" x14ac:dyDescent="0.25"/>
    <row r="61797" hidden="1" x14ac:dyDescent="0.25"/>
    <row r="61798" hidden="1" x14ac:dyDescent="0.25"/>
    <row r="61799" hidden="1" x14ac:dyDescent="0.25"/>
    <row r="61800" hidden="1" x14ac:dyDescent="0.25"/>
    <row r="61801" hidden="1" x14ac:dyDescent="0.25"/>
    <row r="61802" hidden="1" x14ac:dyDescent="0.25"/>
    <row r="61803" hidden="1" x14ac:dyDescent="0.25"/>
    <row r="61804" hidden="1" x14ac:dyDescent="0.25"/>
    <row r="61805" hidden="1" x14ac:dyDescent="0.25"/>
    <row r="61806" hidden="1" x14ac:dyDescent="0.25"/>
    <row r="61807" hidden="1" x14ac:dyDescent="0.25"/>
    <row r="61808" hidden="1" x14ac:dyDescent="0.25"/>
    <row r="61809" hidden="1" x14ac:dyDescent="0.25"/>
    <row r="61810" hidden="1" x14ac:dyDescent="0.25"/>
    <row r="61811" hidden="1" x14ac:dyDescent="0.25"/>
    <row r="61812" hidden="1" x14ac:dyDescent="0.25"/>
    <row r="61813" hidden="1" x14ac:dyDescent="0.25"/>
    <row r="61814" hidden="1" x14ac:dyDescent="0.25"/>
    <row r="61815" hidden="1" x14ac:dyDescent="0.25"/>
    <row r="61816" hidden="1" x14ac:dyDescent="0.25"/>
    <row r="61817" hidden="1" x14ac:dyDescent="0.25"/>
    <row r="61818" hidden="1" x14ac:dyDescent="0.25"/>
    <row r="61819" hidden="1" x14ac:dyDescent="0.25"/>
    <row r="61820" hidden="1" x14ac:dyDescent="0.25"/>
    <row r="61821" hidden="1" x14ac:dyDescent="0.25"/>
    <row r="61822" hidden="1" x14ac:dyDescent="0.25"/>
    <row r="61823" hidden="1" x14ac:dyDescent="0.25"/>
    <row r="61824" hidden="1" x14ac:dyDescent="0.25"/>
    <row r="61825" hidden="1" x14ac:dyDescent="0.25"/>
    <row r="61826" hidden="1" x14ac:dyDescent="0.25"/>
    <row r="61827" hidden="1" x14ac:dyDescent="0.25"/>
    <row r="61828" hidden="1" x14ac:dyDescent="0.25"/>
    <row r="61829" hidden="1" x14ac:dyDescent="0.25"/>
    <row r="61830" hidden="1" x14ac:dyDescent="0.25"/>
    <row r="61831" hidden="1" x14ac:dyDescent="0.25"/>
    <row r="61832" hidden="1" x14ac:dyDescent="0.25"/>
    <row r="61833" hidden="1" x14ac:dyDescent="0.25"/>
    <row r="61834" hidden="1" x14ac:dyDescent="0.25"/>
    <row r="61835" hidden="1" x14ac:dyDescent="0.25"/>
    <row r="61836" hidden="1" x14ac:dyDescent="0.25"/>
    <row r="61837" hidden="1" x14ac:dyDescent="0.25"/>
    <row r="61838" hidden="1" x14ac:dyDescent="0.25"/>
    <row r="61839" hidden="1" x14ac:dyDescent="0.25"/>
    <row r="61840" hidden="1" x14ac:dyDescent="0.25"/>
    <row r="61841" hidden="1" x14ac:dyDescent="0.25"/>
    <row r="61842" hidden="1" x14ac:dyDescent="0.25"/>
    <row r="61843" hidden="1" x14ac:dyDescent="0.25"/>
    <row r="61844" hidden="1" x14ac:dyDescent="0.25"/>
    <row r="61845" hidden="1" x14ac:dyDescent="0.25"/>
    <row r="61846" hidden="1" x14ac:dyDescent="0.25"/>
    <row r="61847" hidden="1" x14ac:dyDescent="0.25"/>
    <row r="61848" hidden="1" x14ac:dyDescent="0.25"/>
    <row r="61849" hidden="1" x14ac:dyDescent="0.25"/>
    <row r="61850" hidden="1" x14ac:dyDescent="0.25"/>
    <row r="61851" hidden="1" x14ac:dyDescent="0.25"/>
    <row r="61852" hidden="1" x14ac:dyDescent="0.25"/>
    <row r="61853" hidden="1" x14ac:dyDescent="0.25"/>
    <row r="61854" hidden="1" x14ac:dyDescent="0.25"/>
    <row r="61855" hidden="1" x14ac:dyDescent="0.25"/>
    <row r="61856" hidden="1" x14ac:dyDescent="0.25"/>
    <row r="61857" hidden="1" x14ac:dyDescent="0.25"/>
    <row r="61858" hidden="1" x14ac:dyDescent="0.25"/>
    <row r="61859" hidden="1" x14ac:dyDescent="0.25"/>
    <row r="61860" hidden="1" x14ac:dyDescent="0.25"/>
    <row r="61861" hidden="1" x14ac:dyDescent="0.25"/>
    <row r="61862" hidden="1" x14ac:dyDescent="0.25"/>
    <row r="61863" hidden="1" x14ac:dyDescent="0.25"/>
    <row r="61864" hidden="1" x14ac:dyDescent="0.25"/>
    <row r="61865" hidden="1" x14ac:dyDescent="0.25"/>
    <row r="61866" hidden="1" x14ac:dyDescent="0.25"/>
    <row r="61867" hidden="1" x14ac:dyDescent="0.25"/>
    <row r="61868" hidden="1" x14ac:dyDescent="0.25"/>
    <row r="61869" hidden="1" x14ac:dyDescent="0.25"/>
    <row r="61870" hidden="1" x14ac:dyDescent="0.25"/>
    <row r="61871" hidden="1" x14ac:dyDescent="0.25"/>
    <row r="61872" hidden="1" x14ac:dyDescent="0.25"/>
    <row r="61873" hidden="1" x14ac:dyDescent="0.25"/>
    <row r="61874" hidden="1" x14ac:dyDescent="0.25"/>
    <row r="61875" hidden="1" x14ac:dyDescent="0.25"/>
    <row r="61876" hidden="1" x14ac:dyDescent="0.25"/>
    <row r="61877" hidden="1" x14ac:dyDescent="0.25"/>
    <row r="61878" hidden="1" x14ac:dyDescent="0.25"/>
    <row r="61879" hidden="1" x14ac:dyDescent="0.25"/>
    <row r="61880" hidden="1" x14ac:dyDescent="0.25"/>
    <row r="61881" hidden="1" x14ac:dyDescent="0.25"/>
    <row r="61882" hidden="1" x14ac:dyDescent="0.25"/>
    <row r="61883" hidden="1" x14ac:dyDescent="0.25"/>
    <row r="61884" hidden="1" x14ac:dyDescent="0.25"/>
    <row r="61885" hidden="1" x14ac:dyDescent="0.25"/>
    <row r="61886" hidden="1" x14ac:dyDescent="0.25"/>
    <row r="61887" hidden="1" x14ac:dyDescent="0.25"/>
    <row r="61888" hidden="1" x14ac:dyDescent="0.25"/>
    <row r="61889" hidden="1" x14ac:dyDescent="0.25"/>
    <row r="61890" hidden="1" x14ac:dyDescent="0.25"/>
    <row r="61891" hidden="1" x14ac:dyDescent="0.25"/>
    <row r="61892" hidden="1" x14ac:dyDescent="0.25"/>
    <row r="61893" hidden="1" x14ac:dyDescent="0.25"/>
    <row r="61894" hidden="1" x14ac:dyDescent="0.25"/>
    <row r="61895" hidden="1" x14ac:dyDescent="0.25"/>
    <row r="61896" hidden="1" x14ac:dyDescent="0.25"/>
    <row r="61897" hidden="1" x14ac:dyDescent="0.25"/>
    <row r="61898" hidden="1" x14ac:dyDescent="0.25"/>
    <row r="61899" hidden="1" x14ac:dyDescent="0.25"/>
    <row r="61900" hidden="1" x14ac:dyDescent="0.25"/>
    <row r="61901" hidden="1" x14ac:dyDescent="0.25"/>
    <row r="61902" hidden="1" x14ac:dyDescent="0.25"/>
    <row r="61903" hidden="1" x14ac:dyDescent="0.25"/>
    <row r="61904" hidden="1" x14ac:dyDescent="0.25"/>
    <row r="61905" hidden="1" x14ac:dyDescent="0.25"/>
    <row r="61906" hidden="1" x14ac:dyDescent="0.25"/>
    <row r="61907" hidden="1" x14ac:dyDescent="0.25"/>
    <row r="61908" hidden="1" x14ac:dyDescent="0.25"/>
    <row r="61909" hidden="1" x14ac:dyDescent="0.25"/>
    <row r="61910" hidden="1" x14ac:dyDescent="0.25"/>
    <row r="61911" hidden="1" x14ac:dyDescent="0.25"/>
    <row r="61912" hidden="1" x14ac:dyDescent="0.25"/>
    <row r="61913" hidden="1" x14ac:dyDescent="0.25"/>
    <row r="61914" hidden="1" x14ac:dyDescent="0.25"/>
    <row r="61915" hidden="1" x14ac:dyDescent="0.25"/>
    <row r="61916" hidden="1" x14ac:dyDescent="0.25"/>
    <row r="61917" hidden="1" x14ac:dyDescent="0.25"/>
    <row r="61918" hidden="1" x14ac:dyDescent="0.25"/>
    <row r="61919" hidden="1" x14ac:dyDescent="0.25"/>
    <row r="61920" hidden="1" x14ac:dyDescent="0.25"/>
    <row r="61921" hidden="1" x14ac:dyDescent="0.25"/>
    <row r="61922" hidden="1" x14ac:dyDescent="0.25"/>
    <row r="61923" hidden="1" x14ac:dyDescent="0.25"/>
    <row r="61924" hidden="1" x14ac:dyDescent="0.25"/>
    <row r="61925" hidden="1" x14ac:dyDescent="0.25"/>
    <row r="61926" hidden="1" x14ac:dyDescent="0.25"/>
    <row r="61927" hidden="1" x14ac:dyDescent="0.25"/>
    <row r="61928" hidden="1" x14ac:dyDescent="0.25"/>
    <row r="61929" hidden="1" x14ac:dyDescent="0.25"/>
    <row r="61930" hidden="1" x14ac:dyDescent="0.25"/>
    <row r="61931" hidden="1" x14ac:dyDescent="0.25"/>
    <row r="61932" hidden="1" x14ac:dyDescent="0.25"/>
    <row r="61933" hidden="1" x14ac:dyDescent="0.25"/>
    <row r="61934" hidden="1" x14ac:dyDescent="0.25"/>
    <row r="61935" hidden="1" x14ac:dyDescent="0.25"/>
    <row r="61936" hidden="1" x14ac:dyDescent="0.25"/>
    <row r="61937" hidden="1" x14ac:dyDescent="0.25"/>
    <row r="61938" hidden="1" x14ac:dyDescent="0.25"/>
    <row r="61939" hidden="1" x14ac:dyDescent="0.25"/>
    <row r="61940" hidden="1" x14ac:dyDescent="0.25"/>
    <row r="61941" hidden="1" x14ac:dyDescent="0.25"/>
    <row r="61942" hidden="1" x14ac:dyDescent="0.25"/>
    <row r="61943" hidden="1" x14ac:dyDescent="0.25"/>
    <row r="61944" hidden="1" x14ac:dyDescent="0.25"/>
    <row r="61945" hidden="1" x14ac:dyDescent="0.25"/>
    <row r="61946" hidden="1" x14ac:dyDescent="0.25"/>
    <row r="61947" hidden="1" x14ac:dyDescent="0.25"/>
    <row r="61948" hidden="1" x14ac:dyDescent="0.25"/>
    <row r="61949" hidden="1" x14ac:dyDescent="0.25"/>
    <row r="61950" hidden="1" x14ac:dyDescent="0.25"/>
    <row r="61951" hidden="1" x14ac:dyDescent="0.25"/>
    <row r="61952" hidden="1" x14ac:dyDescent="0.25"/>
    <row r="61953" hidden="1" x14ac:dyDescent="0.25"/>
    <row r="61954" hidden="1" x14ac:dyDescent="0.25"/>
    <row r="61955" hidden="1" x14ac:dyDescent="0.25"/>
    <row r="61956" hidden="1" x14ac:dyDescent="0.25"/>
    <row r="61957" hidden="1" x14ac:dyDescent="0.25"/>
    <row r="61958" hidden="1" x14ac:dyDescent="0.25"/>
    <row r="61959" hidden="1" x14ac:dyDescent="0.25"/>
    <row r="61960" hidden="1" x14ac:dyDescent="0.25"/>
    <row r="61961" hidden="1" x14ac:dyDescent="0.25"/>
    <row r="61962" hidden="1" x14ac:dyDescent="0.25"/>
    <row r="61963" hidden="1" x14ac:dyDescent="0.25"/>
    <row r="61964" hidden="1" x14ac:dyDescent="0.25"/>
    <row r="61965" hidden="1" x14ac:dyDescent="0.25"/>
    <row r="61966" hidden="1" x14ac:dyDescent="0.25"/>
    <row r="61967" hidden="1" x14ac:dyDescent="0.25"/>
    <row r="61968" hidden="1" x14ac:dyDescent="0.25"/>
    <row r="61969" hidden="1" x14ac:dyDescent="0.25"/>
    <row r="61970" hidden="1" x14ac:dyDescent="0.25"/>
    <row r="61971" hidden="1" x14ac:dyDescent="0.25"/>
    <row r="61972" hidden="1" x14ac:dyDescent="0.25"/>
    <row r="61973" hidden="1" x14ac:dyDescent="0.25"/>
    <row r="61974" hidden="1" x14ac:dyDescent="0.25"/>
    <row r="61975" hidden="1" x14ac:dyDescent="0.25"/>
    <row r="61976" hidden="1" x14ac:dyDescent="0.25"/>
    <row r="61977" hidden="1" x14ac:dyDescent="0.25"/>
    <row r="61978" hidden="1" x14ac:dyDescent="0.25"/>
    <row r="61979" hidden="1" x14ac:dyDescent="0.25"/>
    <row r="61980" hidden="1" x14ac:dyDescent="0.25"/>
    <row r="61981" hidden="1" x14ac:dyDescent="0.25"/>
    <row r="61982" hidden="1" x14ac:dyDescent="0.25"/>
    <row r="61983" hidden="1" x14ac:dyDescent="0.25"/>
    <row r="61984" hidden="1" x14ac:dyDescent="0.25"/>
    <row r="61985" hidden="1" x14ac:dyDescent="0.25"/>
    <row r="61986" hidden="1" x14ac:dyDescent="0.25"/>
    <row r="61987" hidden="1" x14ac:dyDescent="0.25"/>
    <row r="61988" hidden="1" x14ac:dyDescent="0.25"/>
    <row r="61989" hidden="1" x14ac:dyDescent="0.25"/>
    <row r="61990" hidden="1" x14ac:dyDescent="0.25"/>
    <row r="61991" hidden="1" x14ac:dyDescent="0.25"/>
    <row r="61992" hidden="1" x14ac:dyDescent="0.25"/>
    <row r="61993" hidden="1" x14ac:dyDescent="0.25"/>
    <row r="61994" hidden="1" x14ac:dyDescent="0.25"/>
    <row r="61995" hidden="1" x14ac:dyDescent="0.25"/>
    <row r="61996" hidden="1" x14ac:dyDescent="0.25"/>
    <row r="61997" hidden="1" x14ac:dyDescent="0.25"/>
    <row r="61998" hidden="1" x14ac:dyDescent="0.25"/>
    <row r="61999" hidden="1" x14ac:dyDescent="0.25"/>
    <row r="62000" hidden="1" x14ac:dyDescent="0.25"/>
    <row r="62001" hidden="1" x14ac:dyDescent="0.25"/>
    <row r="62002" hidden="1" x14ac:dyDescent="0.25"/>
    <row r="62003" hidden="1" x14ac:dyDescent="0.25"/>
    <row r="62004" hidden="1" x14ac:dyDescent="0.25"/>
    <row r="62005" hidden="1" x14ac:dyDescent="0.25"/>
    <row r="62006" hidden="1" x14ac:dyDescent="0.25"/>
    <row r="62007" hidden="1" x14ac:dyDescent="0.25"/>
    <row r="62008" hidden="1" x14ac:dyDescent="0.25"/>
    <row r="62009" hidden="1" x14ac:dyDescent="0.25"/>
    <row r="62010" hidden="1" x14ac:dyDescent="0.25"/>
    <row r="62011" hidden="1" x14ac:dyDescent="0.25"/>
    <row r="62012" hidden="1" x14ac:dyDescent="0.25"/>
    <row r="62013" hidden="1" x14ac:dyDescent="0.25"/>
    <row r="62014" hidden="1" x14ac:dyDescent="0.25"/>
    <row r="62015" hidden="1" x14ac:dyDescent="0.25"/>
    <row r="62016" hidden="1" x14ac:dyDescent="0.25"/>
    <row r="62017" hidden="1" x14ac:dyDescent="0.25"/>
    <row r="62018" hidden="1" x14ac:dyDescent="0.25"/>
    <row r="62019" hidden="1" x14ac:dyDescent="0.25"/>
    <row r="62020" hidden="1" x14ac:dyDescent="0.25"/>
    <row r="62021" hidden="1" x14ac:dyDescent="0.25"/>
    <row r="62022" hidden="1" x14ac:dyDescent="0.25"/>
    <row r="62023" hidden="1" x14ac:dyDescent="0.25"/>
    <row r="62024" hidden="1" x14ac:dyDescent="0.25"/>
    <row r="62025" hidden="1" x14ac:dyDescent="0.25"/>
    <row r="62026" hidden="1" x14ac:dyDescent="0.25"/>
    <row r="62027" hidden="1" x14ac:dyDescent="0.25"/>
    <row r="62028" hidden="1" x14ac:dyDescent="0.25"/>
    <row r="62029" hidden="1" x14ac:dyDescent="0.25"/>
    <row r="62030" hidden="1" x14ac:dyDescent="0.25"/>
    <row r="62031" hidden="1" x14ac:dyDescent="0.25"/>
    <row r="62032" hidden="1" x14ac:dyDescent="0.25"/>
    <row r="62033" hidden="1" x14ac:dyDescent="0.25"/>
    <row r="62034" hidden="1" x14ac:dyDescent="0.25"/>
    <row r="62035" hidden="1" x14ac:dyDescent="0.25"/>
    <row r="62036" hidden="1" x14ac:dyDescent="0.25"/>
    <row r="62037" hidden="1" x14ac:dyDescent="0.25"/>
    <row r="62038" hidden="1" x14ac:dyDescent="0.25"/>
    <row r="62039" hidden="1" x14ac:dyDescent="0.25"/>
    <row r="62040" hidden="1" x14ac:dyDescent="0.25"/>
    <row r="62041" hidden="1" x14ac:dyDescent="0.25"/>
    <row r="62042" hidden="1" x14ac:dyDescent="0.25"/>
    <row r="62043" hidden="1" x14ac:dyDescent="0.25"/>
    <row r="62044" hidden="1" x14ac:dyDescent="0.25"/>
    <row r="62045" hidden="1" x14ac:dyDescent="0.25"/>
    <row r="62046" hidden="1" x14ac:dyDescent="0.25"/>
    <row r="62047" hidden="1" x14ac:dyDescent="0.25"/>
    <row r="62048" hidden="1" x14ac:dyDescent="0.25"/>
    <row r="62049" hidden="1" x14ac:dyDescent="0.25"/>
    <row r="62050" hidden="1" x14ac:dyDescent="0.25"/>
    <row r="62051" hidden="1" x14ac:dyDescent="0.25"/>
    <row r="62052" hidden="1" x14ac:dyDescent="0.25"/>
    <row r="62053" hidden="1" x14ac:dyDescent="0.25"/>
    <row r="62054" hidden="1" x14ac:dyDescent="0.25"/>
    <row r="62055" hidden="1" x14ac:dyDescent="0.25"/>
    <row r="62056" hidden="1" x14ac:dyDescent="0.25"/>
    <row r="62057" hidden="1" x14ac:dyDescent="0.25"/>
    <row r="62058" hidden="1" x14ac:dyDescent="0.25"/>
    <row r="62059" hidden="1" x14ac:dyDescent="0.25"/>
    <row r="62060" hidden="1" x14ac:dyDescent="0.25"/>
    <row r="62061" hidden="1" x14ac:dyDescent="0.25"/>
    <row r="62062" hidden="1" x14ac:dyDescent="0.25"/>
    <row r="62063" hidden="1" x14ac:dyDescent="0.25"/>
    <row r="62064" hidden="1" x14ac:dyDescent="0.25"/>
    <row r="62065" hidden="1" x14ac:dyDescent="0.25"/>
    <row r="62066" hidden="1" x14ac:dyDescent="0.25"/>
    <row r="62067" hidden="1" x14ac:dyDescent="0.25"/>
    <row r="62068" hidden="1" x14ac:dyDescent="0.25"/>
    <row r="62069" hidden="1" x14ac:dyDescent="0.25"/>
    <row r="62070" hidden="1" x14ac:dyDescent="0.25"/>
    <row r="62071" hidden="1" x14ac:dyDescent="0.25"/>
    <row r="62072" hidden="1" x14ac:dyDescent="0.25"/>
    <row r="62073" hidden="1" x14ac:dyDescent="0.25"/>
    <row r="62074" hidden="1" x14ac:dyDescent="0.25"/>
    <row r="62075" hidden="1" x14ac:dyDescent="0.25"/>
    <row r="62076" hidden="1" x14ac:dyDescent="0.25"/>
    <row r="62077" hidden="1" x14ac:dyDescent="0.25"/>
    <row r="62078" hidden="1" x14ac:dyDescent="0.25"/>
    <row r="62079" hidden="1" x14ac:dyDescent="0.25"/>
    <row r="62080" hidden="1" x14ac:dyDescent="0.25"/>
    <row r="62081" hidden="1" x14ac:dyDescent="0.25"/>
    <row r="62082" hidden="1" x14ac:dyDescent="0.25"/>
    <row r="62083" hidden="1" x14ac:dyDescent="0.25"/>
    <row r="62084" hidden="1" x14ac:dyDescent="0.25"/>
    <row r="62085" hidden="1" x14ac:dyDescent="0.25"/>
    <row r="62086" hidden="1" x14ac:dyDescent="0.25"/>
    <row r="62087" hidden="1" x14ac:dyDescent="0.25"/>
    <row r="62088" hidden="1" x14ac:dyDescent="0.25"/>
    <row r="62089" hidden="1" x14ac:dyDescent="0.25"/>
    <row r="62090" hidden="1" x14ac:dyDescent="0.25"/>
    <row r="62091" hidden="1" x14ac:dyDescent="0.25"/>
    <row r="62092" hidden="1" x14ac:dyDescent="0.25"/>
    <row r="62093" hidden="1" x14ac:dyDescent="0.25"/>
    <row r="62094" hidden="1" x14ac:dyDescent="0.25"/>
    <row r="62095" hidden="1" x14ac:dyDescent="0.25"/>
    <row r="62096" hidden="1" x14ac:dyDescent="0.25"/>
    <row r="62097" hidden="1" x14ac:dyDescent="0.25"/>
    <row r="62098" hidden="1" x14ac:dyDescent="0.25"/>
    <row r="62099" hidden="1" x14ac:dyDescent="0.25"/>
    <row r="62100" hidden="1" x14ac:dyDescent="0.25"/>
    <row r="62101" hidden="1" x14ac:dyDescent="0.25"/>
    <row r="62102" hidden="1" x14ac:dyDescent="0.25"/>
    <row r="62103" hidden="1" x14ac:dyDescent="0.25"/>
    <row r="62104" hidden="1" x14ac:dyDescent="0.25"/>
    <row r="62105" hidden="1" x14ac:dyDescent="0.25"/>
    <row r="62106" hidden="1" x14ac:dyDescent="0.25"/>
    <row r="62107" hidden="1" x14ac:dyDescent="0.25"/>
    <row r="62108" hidden="1" x14ac:dyDescent="0.25"/>
    <row r="62109" hidden="1" x14ac:dyDescent="0.25"/>
    <row r="62110" hidden="1" x14ac:dyDescent="0.25"/>
    <row r="62111" hidden="1" x14ac:dyDescent="0.25"/>
    <row r="62112" hidden="1" x14ac:dyDescent="0.25"/>
    <row r="62113" hidden="1" x14ac:dyDescent="0.25"/>
    <row r="62114" hidden="1" x14ac:dyDescent="0.25"/>
    <row r="62115" hidden="1" x14ac:dyDescent="0.25"/>
    <row r="62116" hidden="1" x14ac:dyDescent="0.25"/>
    <row r="62117" hidden="1" x14ac:dyDescent="0.25"/>
    <row r="62118" hidden="1" x14ac:dyDescent="0.25"/>
    <row r="62119" hidden="1" x14ac:dyDescent="0.25"/>
    <row r="62120" hidden="1" x14ac:dyDescent="0.25"/>
    <row r="62121" hidden="1" x14ac:dyDescent="0.25"/>
    <row r="62122" hidden="1" x14ac:dyDescent="0.25"/>
    <row r="62123" hidden="1" x14ac:dyDescent="0.25"/>
    <row r="62124" hidden="1" x14ac:dyDescent="0.25"/>
    <row r="62125" hidden="1" x14ac:dyDescent="0.25"/>
    <row r="62126" hidden="1" x14ac:dyDescent="0.25"/>
    <row r="62127" hidden="1" x14ac:dyDescent="0.25"/>
    <row r="62128" hidden="1" x14ac:dyDescent="0.25"/>
    <row r="62129" hidden="1" x14ac:dyDescent="0.25"/>
    <row r="62130" hidden="1" x14ac:dyDescent="0.25"/>
    <row r="62131" hidden="1" x14ac:dyDescent="0.25"/>
    <row r="62132" hidden="1" x14ac:dyDescent="0.25"/>
    <row r="62133" hidden="1" x14ac:dyDescent="0.25"/>
    <row r="62134" hidden="1" x14ac:dyDescent="0.25"/>
    <row r="62135" hidden="1" x14ac:dyDescent="0.25"/>
    <row r="62136" hidden="1" x14ac:dyDescent="0.25"/>
    <row r="62137" hidden="1" x14ac:dyDescent="0.25"/>
    <row r="62138" hidden="1" x14ac:dyDescent="0.25"/>
    <row r="62139" hidden="1" x14ac:dyDescent="0.25"/>
    <row r="62140" hidden="1" x14ac:dyDescent="0.25"/>
    <row r="62141" hidden="1" x14ac:dyDescent="0.25"/>
    <row r="62142" hidden="1" x14ac:dyDescent="0.25"/>
    <row r="62143" hidden="1" x14ac:dyDescent="0.25"/>
    <row r="62144" hidden="1" x14ac:dyDescent="0.25"/>
    <row r="62145" hidden="1" x14ac:dyDescent="0.25"/>
    <row r="62146" hidden="1" x14ac:dyDescent="0.25"/>
    <row r="62147" hidden="1" x14ac:dyDescent="0.25"/>
    <row r="62148" hidden="1" x14ac:dyDescent="0.25"/>
    <row r="62149" hidden="1" x14ac:dyDescent="0.25"/>
    <row r="62150" hidden="1" x14ac:dyDescent="0.25"/>
    <row r="62151" hidden="1" x14ac:dyDescent="0.25"/>
    <row r="62152" hidden="1" x14ac:dyDescent="0.25"/>
    <row r="62153" hidden="1" x14ac:dyDescent="0.25"/>
    <row r="62154" hidden="1" x14ac:dyDescent="0.25"/>
    <row r="62155" hidden="1" x14ac:dyDescent="0.25"/>
    <row r="62156" hidden="1" x14ac:dyDescent="0.25"/>
    <row r="62157" hidden="1" x14ac:dyDescent="0.25"/>
    <row r="62158" hidden="1" x14ac:dyDescent="0.25"/>
    <row r="62159" hidden="1" x14ac:dyDescent="0.25"/>
    <row r="62160" hidden="1" x14ac:dyDescent="0.25"/>
    <row r="62161" hidden="1" x14ac:dyDescent="0.25"/>
    <row r="62162" hidden="1" x14ac:dyDescent="0.25"/>
    <row r="62163" hidden="1" x14ac:dyDescent="0.25"/>
    <row r="62164" hidden="1" x14ac:dyDescent="0.25"/>
    <row r="62165" hidden="1" x14ac:dyDescent="0.25"/>
    <row r="62166" hidden="1" x14ac:dyDescent="0.25"/>
    <row r="62167" hidden="1" x14ac:dyDescent="0.25"/>
    <row r="62168" hidden="1" x14ac:dyDescent="0.25"/>
    <row r="62169" hidden="1" x14ac:dyDescent="0.25"/>
    <row r="62170" hidden="1" x14ac:dyDescent="0.25"/>
    <row r="62171" hidden="1" x14ac:dyDescent="0.25"/>
    <row r="62172" hidden="1" x14ac:dyDescent="0.25"/>
    <row r="62173" hidden="1" x14ac:dyDescent="0.25"/>
    <row r="62174" hidden="1" x14ac:dyDescent="0.25"/>
    <row r="62175" hidden="1" x14ac:dyDescent="0.25"/>
    <row r="62176" hidden="1" x14ac:dyDescent="0.25"/>
    <row r="62177" hidden="1" x14ac:dyDescent="0.25"/>
    <row r="62178" hidden="1" x14ac:dyDescent="0.25"/>
    <row r="62179" hidden="1" x14ac:dyDescent="0.25"/>
    <row r="62180" hidden="1" x14ac:dyDescent="0.25"/>
    <row r="62181" hidden="1" x14ac:dyDescent="0.25"/>
    <row r="62182" hidden="1" x14ac:dyDescent="0.25"/>
    <row r="62183" hidden="1" x14ac:dyDescent="0.25"/>
    <row r="62184" hidden="1" x14ac:dyDescent="0.25"/>
    <row r="62185" hidden="1" x14ac:dyDescent="0.25"/>
    <row r="62186" hidden="1" x14ac:dyDescent="0.25"/>
    <row r="62187" hidden="1" x14ac:dyDescent="0.25"/>
    <row r="62188" hidden="1" x14ac:dyDescent="0.25"/>
    <row r="62189" hidden="1" x14ac:dyDescent="0.25"/>
    <row r="62190" hidden="1" x14ac:dyDescent="0.25"/>
    <row r="62191" hidden="1" x14ac:dyDescent="0.25"/>
    <row r="62192" hidden="1" x14ac:dyDescent="0.25"/>
    <row r="62193" hidden="1" x14ac:dyDescent="0.25"/>
    <row r="62194" hidden="1" x14ac:dyDescent="0.25"/>
    <row r="62195" hidden="1" x14ac:dyDescent="0.25"/>
    <row r="62196" hidden="1" x14ac:dyDescent="0.25"/>
    <row r="62197" hidden="1" x14ac:dyDescent="0.25"/>
    <row r="62198" hidden="1" x14ac:dyDescent="0.25"/>
    <row r="62199" hidden="1" x14ac:dyDescent="0.25"/>
    <row r="62200" hidden="1" x14ac:dyDescent="0.25"/>
    <row r="62201" hidden="1" x14ac:dyDescent="0.25"/>
    <row r="62202" hidden="1" x14ac:dyDescent="0.25"/>
    <row r="62203" hidden="1" x14ac:dyDescent="0.25"/>
    <row r="62204" hidden="1" x14ac:dyDescent="0.25"/>
    <row r="62205" hidden="1" x14ac:dyDescent="0.25"/>
    <row r="62206" hidden="1" x14ac:dyDescent="0.25"/>
    <row r="62207" hidden="1" x14ac:dyDescent="0.25"/>
    <row r="62208" hidden="1" x14ac:dyDescent="0.25"/>
    <row r="62209" hidden="1" x14ac:dyDescent="0.25"/>
    <row r="62210" hidden="1" x14ac:dyDescent="0.25"/>
    <row r="62211" hidden="1" x14ac:dyDescent="0.25"/>
    <row r="62212" hidden="1" x14ac:dyDescent="0.25"/>
    <row r="62213" hidden="1" x14ac:dyDescent="0.25"/>
    <row r="62214" hidden="1" x14ac:dyDescent="0.25"/>
    <row r="62215" hidden="1" x14ac:dyDescent="0.25"/>
    <row r="62216" hidden="1" x14ac:dyDescent="0.25"/>
    <row r="62217" hidden="1" x14ac:dyDescent="0.25"/>
    <row r="62218" hidden="1" x14ac:dyDescent="0.25"/>
    <row r="62219" hidden="1" x14ac:dyDescent="0.25"/>
    <row r="62220" hidden="1" x14ac:dyDescent="0.25"/>
    <row r="62221" hidden="1" x14ac:dyDescent="0.25"/>
    <row r="62222" hidden="1" x14ac:dyDescent="0.25"/>
    <row r="62223" hidden="1" x14ac:dyDescent="0.25"/>
    <row r="62224" hidden="1" x14ac:dyDescent="0.25"/>
    <row r="62225" hidden="1" x14ac:dyDescent="0.25"/>
    <row r="62226" hidden="1" x14ac:dyDescent="0.25"/>
    <row r="62227" hidden="1" x14ac:dyDescent="0.25"/>
    <row r="62228" hidden="1" x14ac:dyDescent="0.25"/>
    <row r="62229" hidden="1" x14ac:dyDescent="0.25"/>
    <row r="62230" hidden="1" x14ac:dyDescent="0.25"/>
    <row r="62231" hidden="1" x14ac:dyDescent="0.25"/>
    <row r="62232" hidden="1" x14ac:dyDescent="0.25"/>
    <row r="62233" hidden="1" x14ac:dyDescent="0.25"/>
    <row r="62234" hidden="1" x14ac:dyDescent="0.25"/>
    <row r="62235" hidden="1" x14ac:dyDescent="0.25"/>
    <row r="62236" hidden="1" x14ac:dyDescent="0.25"/>
    <row r="62237" hidden="1" x14ac:dyDescent="0.25"/>
    <row r="62238" hidden="1" x14ac:dyDescent="0.25"/>
    <row r="62239" hidden="1" x14ac:dyDescent="0.25"/>
    <row r="62240" hidden="1" x14ac:dyDescent="0.25"/>
    <row r="62241" hidden="1" x14ac:dyDescent="0.25"/>
    <row r="62242" hidden="1" x14ac:dyDescent="0.25"/>
    <row r="62243" hidden="1" x14ac:dyDescent="0.25"/>
    <row r="62244" hidden="1" x14ac:dyDescent="0.25"/>
    <row r="62245" hidden="1" x14ac:dyDescent="0.25"/>
    <row r="62246" hidden="1" x14ac:dyDescent="0.25"/>
    <row r="62247" hidden="1" x14ac:dyDescent="0.25"/>
    <row r="62248" hidden="1" x14ac:dyDescent="0.25"/>
    <row r="62249" hidden="1" x14ac:dyDescent="0.25"/>
    <row r="62250" hidden="1" x14ac:dyDescent="0.25"/>
    <row r="62251" hidden="1" x14ac:dyDescent="0.25"/>
    <row r="62252" hidden="1" x14ac:dyDescent="0.25"/>
    <row r="62253" hidden="1" x14ac:dyDescent="0.25"/>
    <row r="62254" hidden="1" x14ac:dyDescent="0.25"/>
    <row r="62255" hidden="1" x14ac:dyDescent="0.25"/>
    <row r="62256" hidden="1" x14ac:dyDescent="0.25"/>
    <row r="62257" hidden="1" x14ac:dyDescent="0.25"/>
    <row r="62258" hidden="1" x14ac:dyDescent="0.25"/>
    <row r="62259" hidden="1" x14ac:dyDescent="0.25"/>
    <row r="62260" hidden="1" x14ac:dyDescent="0.25"/>
    <row r="62261" hidden="1" x14ac:dyDescent="0.25"/>
    <row r="62262" hidden="1" x14ac:dyDescent="0.25"/>
    <row r="62263" hidden="1" x14ac:dyDescent="0.25"/>
    <row r="62264" hidden="1" x14ac:dyDescent="0.25"/>
    <row r="62265" hidden="1" x14ac:dyDescent="0.25"/>
    <row r="62266" hidden="1" x14ac:dyDescent="0.25"/>
    <row r="62267" hidden="1" x14ac:dyDescent="0.25"/>
    <row r="62268" hidden="1" x14ac:dyDescent="0.25"/>
    <row r="62269" hidden="1" x14ac:dyDescent="0.25"/>
    <row r="62270" hidden="1" x14ac:dyDescent="0.25"/>
    <row r="62271" hidden="1" x14ac:dyDescent="0.25"/>
    <row r="62272" hidden="1" x14ac:dyDescent="0.25"/>
    <row r="62273" hidden="1" x14ac:dyDescent="0.25"/>
    <row r="62274" hidden="1" x14ac:dyDescent="0.25"/>
    <row r="62275" hidden="1" x14ac:dyDescent="0.25"/>
    <row r="62276" hidden="1" x14ac:dyDescent="0.25"/>
    <row r="62277" hidden="1" x14ac:dyDescent="0.25"/>
    <row r="62278" hidden="1" x14ac:dyDescent="0.25"/>
    <row r="62279" hidden="1" x14ac:dyDescent="0.25"/>
    <row r="62280" hidden="1" x14ac:dyDescent="0.25"/>
    <row r="62281" hidden="1" x14ac:dyDescent="0.25"/>
    <row r="62282" hidden="1" x14ac:dyDescent="0.25"/>
    <row r="62283" hidden="1" x14ac:dyDescent="0.25"/>
    <row r="62284" hidden="1" x14ac:dyDescent="0.25"/>
    <row r="62285" hidden="1" x14ac:dyDescent="0.25"/>
    <row r="62286" hidden="1" x14ac:dyDescent="0.25"/>
    <row r="62287" hidden="1" x14ac:dyDescent="0.25"/>
    <row r="62288" hidden="1" x14ac:dyDescent="0.25"/>
    <row r="62289" hidden="1" x14ac:dyDescent="0.25"/>
    <row r="62290" hidden="1" x14ac:dyDescent="0.25"/>
    <row r="62291" hidden="1" x14ac:dyDescent="0.25"/>
    <row r="62292" hidden="1" x14ac:dyDescent="0.25"/>
    <row r="62293" hidden="1" x14ac:dyDescent="0.25"/>
    <row r="62294" hidden="1" x14ac:dyDescent="0.25"/>
    <row r="62295" hidden="1" x14ac:dyDescent="0.25"/>
    <row r="62296" hidden="1" x14ac:dyDescent="0.25"/>
    <row r="62297" hidden="1" x14ac:dyDescent="0.25"/>
    <row r="62298" hidden="1" x14ac:dyDescent="0.25"/>
    <row r="62299" hidden="1" x14ac:dyDescent="0.25"/>
    <row r="62300" hidden="1" x14ac:dyDescent="0.25"/>
    <row r="62301" hidden="1" x14ac:dyDescent="0.25"/>
    <row r="62302" hidden="1" x14ac:dyDescent="0.25"/>
    <row r="62303" hidden="1" x14ac:dyDescent="0.25"/>
    <row r="62304" hidden="1" x14ac:dyDescent="0.25"/>
    <row r="62305" hidden="1" x14ac:dyDescent="0.25"/>
    <row r="62306" hidden="1" x14ac:dyDescent="0.25"/>
    <row r="62307" hidden="1" x14ac:dyDescent="0.25"/>
    <row r="62308" hidden="1" x14ac:dyDescent="0.25"/>
    <row r="62309" hidden="1" x14ac:dyDescent="0.25"/>
    <row r="62310" hidden="1" x14ac:dyDescent="0.25"/>
    <row r="62311" hidden="1" x14ac:dyDescent="0.25"/>
    <row r="62312" hidden="1" x14ac:dyDescent="0.25"/>
    <row r="62313" hidden="1" x14ac:dyDescent="0.25"/>
    <row r="62314" hidden="1" x14ac:dyDescent="0.25"/>
    <row r="62315" hidden="1" x14ac:dyDescent="0.25"/>
    <row r="62316" hidden="1" x14ac:dyDescent="0.25"/>
    <row r="62317" hidden="1" x14ac:dyDescent="0.25"/>
    <row r="62318" hidden="1" x14ac:dyDescent="0.25"/>
    <row r="62319" hidden="1" x14ac:dyDescent="0.25"/>
    <row r="62320" hidden="1" x14ac:dyDescent="0.25"/>
    <row r="62321" hidden="1" x14ac:dyDescent="0.25"/>
    <row r="62322" hidden="1" x14ac:dyDescent="0.25"/>
    <row r="62323" hidden="1" x14ac:dyDescent="0.25"/>
    <row r="62324" hidden="1" x14ac:dyDescent="0.25"/>
    <row r="62325" hidden="1" x14ac:dyDescent="0.25"/>
    <row r="62326" hidden="1" x14ac:dyDescent="0.25"/>
    <row r="62327" hidden="1" x14ac:dyDescent="0.25"/>
    <row r="62328" hidden="1" x14ac:dyDescent="0.25"/>
    <row r="62329" hidden="1" x14ac:dyDescent="0.25"/>
    <row r="62330" hidden="1" x14ac:dyDescent="0.25"/>
    <row r="62331" hidden="1" x14ac:dyDescent="0.25"/>
    <row r="62332" hidden="1" x14ac:dyDescent="0.25"/>
    <row r="62333" hidden="1" x14ac:dyDescent="0.25"/>
    <row r="62334" hidden="1" x14ac:dyDescent="0.25"/>
    <row r="62335" hidden="1" x14ac:dyDescent="0.25"/>
    <row r="62336" hidden="1" x14ac:dyDescent="0.25"/>
    <row r="62337" hidden="1" x14ac:dyDescent="0.25"/>
    <row r="62338" hidden="1" x14ac:dyDescent="0.25"/>
    <row r="62339" hidden="1" x14ac:dyDescent="0.25"/>
    <row r="62340" hidden="1" x14ac:dyDescent="0.25"/>
    <row r="62341" hidden="1" x14ac:dyDescent="0.25"/>
    <row r="62342" hidden="1" x14ac:dyDescent="0.25"/>
    <row r="62343" hidden="1" x14ac:dyDescent="0.25"/>
    <row r="62344" hidden="1" x14ac:dyDescent="0.25"/>
    <row r="62345" hidden="1" x14ac:dyDescent="0.25"/>
    <row r="62346" hidden="1" x14ac:dyDescent="0.25"/>
    <row r="62347" hidden="1" x14ac:dyDescent="0.25"/>
    <row r="62348" hidden="1" x14ac:dyDescent="0.25"/>
    <row r="62349" hidden="1" x14ac:dyDescent="0.25"/>
    <row r="62350" hidden="1" x14ac:dyDescent="0.25"/>
    <row r="62351" hidden="1" x14ac:dyDescent="0.25"/>
    <row r="62352" hidden="1" x14ac:dyDescent="0.25"/>
    <row r="62353" hidden="1" x14ac:dyDescent="0.25"/>
    <row r="62354" hidden="1" x14ac:dyDescent="0.25"/>
    <row r="62355" hidden="1" x14ac:dyDescent="0.25"/>
    <row r="62356" hidden="1" x14ac:dyDescent="0.25"/>
    <row r="62357" hidden="1" x14ac:dyDescent="0.25"/>
    <row r="62358" hidden="1" x14ac:dyDescent="0.25"/>
    <row r="62359" hidden="1" x14ac:dyDescent="0.25"/>
    <row r="62360" hidden="1" x14ac:dyDescent="0.25"/>
    <row r="62361" hidden="1" x14ac:dyDescent="0.25"/>
    <row r="62362" hidden="1" x14ac:dyDescent="0.25"/>
    <row r="62363" hidden="1" x14ac:dyDescent="0.25"/>
    <row r="62364" hidden="1" x14ac:dyDescent="0.25"/>
    <row r="62365" hidden="1" x14ac:dyDescent="0.25"/>
    <row r="62366" hidden="1" x14ac:dyDescent="0.25"/>
    <row r="62367" hidden="1" x14ac:dyDescent="0.25"/>
    <row r="62368" hidden="1" x14ac:dyDescent="0.25"/>
    <row r="62369" hidden="1" x14ac:dyDescent="0.25"/>
    <row r="62370" hidden="1" x14ac:dyDescent="0.25"/>
    <row r="62371" hidden="1" x14ac:dyDescent="0.25"/>
    <row r="62372" hidden="1" x14ac:dyDescent="0.25"/>
    <row r="62373" hidden="1" x14ac:dyDescent="0.25"/>
    <row r="62374" hidden="1" x14ac:dyDescent="0.25"/>
    <row r="62375" hidden="1" x14ac:dyDescent="0.25"/>
    <row r="62376" hidden="1" x14ac:dyDescent="0.25"/>
    <row r="62377" hidden="1" x14ac:dyDescent="0.25"/>
    <row r="62378" hidden="1" x14ac:dyDescent="0.25"/>
    <row r="62379" hidden="1" x14ac:dyDescent="0.25"/>
    <row r="62380" hidden="1" x14ac:dyDescent="0.25"/>
    <row r="62381" hidden="1" x14ac:dyDescent="0.25"/>
    <row r="62382" hidden="1" x14ac:dyDescent="0.25"/>
    <row r="62383" hidden="1" x14ac:dyDescent="0.25"/>
    <row r="62384" hidden="1" x14ac:dyDescent="0.25"/>
    <row r="62385" hidden="1" x14ac:dyDescent="0.25"/>
    <row r="62386" hidden="1" x14ac:dyDescent="0.25"/>
    <row r="62387" hidden="1" x14ac:dyDescent="0.25"/>
    <row r="62388" hidden="1" x14ac:dyDescent="0.25"/>
    <row r="62389" hidden="1" x14ac:dyDescent="0.25"/>
    <row r="62390" hidden="1" x14ac:dyDescent="0.25"/>
    <row r="62391" hidden="1" x14ac:dyDescent="0.25"/>
    <row r="62392" hidden="1" x14ac:dyDescent="0.25"/>
    <row r="62393" hidden="1" x14ac:dyDescent="0.25"/>
    <row r="62394" hidden="1" x14ac:dyDescent="0.25"/>
    <row r="62395" hidden="1" x14ac:dyDescent="0.25"/>
    <row r="62396" hidden="1" x14ac:dyDescent="0.25"/>
    <row r="62397" hidden="1" x14ac:dyDescent="0.25"/>
    <row r="62398" hidden="1" x14ac:dyDescent="0.25"/>
    <row r="62399" hidden="1" x14ac:dyDescent="0.25"/>
    <row r="62400" hidden="1" x14ac:dyDescent="0.25"/>
    <row r="62401" hidden="1" x14ac:dyDescent="0.25"/>
    <row r="62402" hidden="1" x14ac:dyDescent="0.25"/>
    <row r="62403" hidden="1" x14ac:dyDescent="0.25"/>
    <row r="62404" hidden="1" x14ac:dyDescent="0.25"/>
    <row r="62405" hidden="1" x14ac:dyDescent="0.25"/>
    <row r="62406" hidden="1" x14ac:dyDescent="0.25"/>
    <row r="62407" hidden="1" x14ac:dyDescent="0.25"/>
    <row r="62408" hidden="1" x14ac:dyDescent="0.25"/>
    <row r="62409" hidden="1" x14ac:dyDescent="0.25"/>
    <row r="62410" hidden="1" x14ac:dyDescent="0.25"/>
    <row r="62411" hidden="1" x14ac:dyDescent="0.25"/>
    <row r="62412" hidden="1" x14ac:dyDescent="0.25"/>
    <row r="62413" hidden="1" x14ac:dyDescent="0.25"/>
    <row r="62414" hidden="1" x14ac:dyDescent="0.25"/>
    <row r="62415" hidden="1" x14ac:dyDescent="0.25"/>
    <row r="62416" hidden="1" x14ac:dyDescent="0.25"/>
    <row r="62417" hidden="1" x14ac:dyDescent="0.25"/>
    <row r="62418" hidden="1" x14ac:dyDescent="0.25"/>
    <row r="62419" hidden="1" x14ac:dyDescent="0.25"/>
    <row r="62420" hidden="1" x14ac:dyDescent="0.25"/>
    <row r="62421" hidden="1" x14ac:dyDescent="0.25"/>
    <row r="62422" hidden="1" x14ac:dyDescent="0.25"/>
    <row r="62423" hidden="1" x14ac:dyDescent="0.25"/>
    <row r="62424" hidden="1" x14ac:dyDescent="0.25"/>
    <row r="62425" hidden="1" x14ac:dyDescent="0.25"/>
    <row r="62426" hidden="1" x14ac:dyDescent="0.25"/>
    <row r="62427" hidden="1" x14ac:dyDescent="0.25"/>
    <row r="62428" hidden="1" x14ac:dyDescent="0.25"/>
    <row r="62429" hidden="1" x14ac:dyDescent="0.25"/>
    <row r="62430" hidden="1" x14ac:dyDescent="0.25"/>
    <row r="62431" hidden="1" x14ac:dyDescent="0.25"/>
    <row r="62432" hidden="1" x14ac:dyDescent="0.25"/>
    <row r="62433" hidden="1" x14ac:dyDescent="0.25"/>
    <row r="62434" hidden="1" x14ac:dyDescent="0.25"/>
    <row r="62435" hidden="1" x14ac:dyDescent="0.25"/>
    <row r="62436" hidden="1" x14ac:dyDescent="0.25"/>
    <row r="62437" hidden="1" x14ac:dyDescent="0.25"/>
    <row r="62438" hidden="1" x14ac:dyDescent="0.25"/>
    <row r="62439" hidden="1" x14ac:dyDescent="0.25"/>
    <row r="62440" hidden="1" x14ac:dyDescent="0.25"/>
    <row r="62441" hidden="1" x14ac:dyDescent="0.25"/>
    <row r="62442" hidden="1" x14ac:dyDescent="0.25"/>
    <row r="62443" hidden="1" x14ac:dyDescent="0.25"/>
    <row r="62444" hidden="1" x14ac:dyDescent="0.25"/>
    <row r="62445" hidden="1" x14ac:dyDescent="0.25"/>
    <row r="62446" hidden="1" x14ac:dyDescent="0.25"/>
    <row r="62447" hidden="1" x14ac:dyDescent="0.25"/>
    <row r="62448" hidden="1" x14ac:dyDescent="0.25"/>
    <row r="62449" hidden="1" x14ac:dyDescent="0.25"/>
    <row r="62450" hidden="1" x14ac:dyDescent="0.25"/>
    <row r="62451" hidden="1" x14ac:dyDescent="0.25"/>
    <row r="62452" hidden="1" x14ac:dyDescent="0.25"/>
    <row r="62453" hidden="1" x14ac:dyDescent="0.25"/>
    <row r="62454" hidden="1" x14ac:dyDescent="0.25"/>
    <row r="62455" hidden="1" x14ac:dyDescent="0.25"/>
    <row r="62456" hidden="1" x14ac:dyDescent="0.25"/>
    <row r="62457" hidden="1" x14ac:dyDescent="0.25"/>
    <row r="62458" hidden="1" x14ac:dyDescent="0.25"/>
    <row r="62459" hidden="1" x14ac:dyDescent="0.25"/>
    <row r="62460" hidden="1" x14ac:dyDescent="0.25"/>
    <row r="62461" hidden="1" x14ac:dyDescent="0.25"/>
    <row r="62462" hidden="1" x14ac:dyDescent="0.25"/>
    <row r="62463" hidden="1" x14ac:dyDescent="0.25"/>
    <row r="62464" hidden="1" x14ac:dyDescent="0.25"/>
    <row r="62465" hidden="1" x14ac:dyDescent="0.25"/>
    <row r="62466" hidden="1" x14ac:dyDescent="0.25"/>
    <row r="62467" hidden="1" x14ac:dyDescent="0.25"/>
    <row r="62468" hidden="1" x14ac:dyDescent="0.25"/>
    <row r="62469" hidden="1" x14ac:dyDescent="0.25"/>
    <row r="62470" hidden="1" x14ac:dyDescent="0.25"/>
    <row r="62471" hidden="1" x14ac:dyDescent="0.25"/>
    <row r="62472" hidden="1" x14ac:dyDescent="0.25"/>
    <row r="62473" hidden="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idden="1" x14ac:dyDescent="0.25"/>
    <row r="62482" hidden="1" x14ac:dyDescent="0.25"/>
    <row r="62483" hidden="1" x14ac:dyDescent="0.25"/>
    <row r="62484" hidden="1" x14ac:dyDescent="0.25"/>
    <row r="62485" hidden="1" x14ac:dyDescent="0.25"/>
    <row r="62486" hidden="1" x14ac:dyDescent="0.25"/>
    <row r="62487" hidden="1" x14ac:dyDescent="0.25"/>
    <row r="62488" hidden="1" x14ac:dyDescent="0.25"/>
    <row r="62489" hidden="1" x14ac:dyDescent="0.25"/>
    <row r="62490" hidden="1" x14ac:dyDescent="0.25"/>
    <row r="62491" hidden="1" x14ac:dyDescent="0.25"/>
    <row r="62492" hidden="1" x14ac:dyDescent="0.25"/>
    <row r="62493" hidden="1" x14ac:dyDescent="0.25"/>
    <row r="62494" hidden="1" x14ac:dyDescent="0.25"/>
    <row r="62495" hidden="1" x14ac:dyDescent="0.25"/>
    <row r="62496" hidden="1" x14ac:dyDescent="0.25"/>
    <row r="62497" hidden="1" x14ac:dyDescent="0.25"/>
    <row r="62498" hidden="1" x14ac:dyDescent="0.25"/>
    <row r="62499" hidden="1" x14ac:dyDescent="0.25"/>
    <row r="62500" hidden="1" x14ac:dyDescent="0.25"/>
    <row r="62501" hidden="1" x14ac:dyDescent="0.25"/>
    <row r="62502" hidden="1" x14ac:dyDescent="0.25"/>
    <row r="62503" hidden="1" x14ac:dyDescent="0.25"/>
    <row r="62504" hidden="1" x14ac:dyDescent="0.25"/>
    <row r="62505" hidden="1" x14ac:dyDescent="0.25"/>
    <row r="62506" hidden="1" x14ac:dyDescent="0.25"/>
    <row r="62507" hidden="1" x14ac:dyDescent="0.25"/>
    <row r="62508" hidden="1" x14ac:dyDescent="0.25"/>
    <row r="62509" hidden="1" x14ac:dyDescent="0.25"/>
    <row r="62510" hidden="1" x14ac:dyDescent="0.25"/>
    <row r="62511" hidden="1" x14ac:dyDescent="0.25"/>
    <row r="62512" hidden="1" x14ac:dyDescent="0.25"/>
    <row r="62513" hidden="1" x14ac:dyDescent="0.25"/>
    <row r="62514" hidden="1" x14ac:dyDescent="0.25"/>
    <row r="62515" hidden="1" x14ac:dyDescent="0.25"/>
    <row r="62516" hidden="1" x14ac:dyDescent="0.25"/>
    <row r="62517" hidden="1" x14ac:dyDescent="0.25"/>
    <row r="62518" hidden="1" x14ac:dyDescent="0.25"/>
    <row r="62519" hidden="1" x14ac:dyDescent="0.25"/>
    <row r="62520" hidden="1" x14ac:dyDescent="0.25"/>
    <row r="62521" hidden="1" x14ac:dyDescent="0.25"/>
    <row r="62522" hidden="1" x14ac:dyDescent="0.25"/>
    <row r="62523" hidden="1" x14ac:dyDescent="0.25"/>
    <row r="62524" hidden="1" x14ac:dyDescent="0.25"/>
    <row r="62525" hidden="1" x14ac:dyDescent="0.25"/>
    <row r="62526" hidden="1" x14ac:dyDescent="0.25"/>
    <row r="62527" hidden="1" x14ac:dyDescent="0.25"/>
    <row r="62528" hidden="1" x14ac:dyDescent="0.25"/>
    <row r="62529" hidden="1" x14ac:dyDescent="0.25"/>
    <row r="62530" hidden="1" x14ac:dyDescent="0.25"/>
    <row r="62531" hidden="1" x14ac:dyDescent="0.25"/>
    <row r="62532" hidden="1" x14ac:dyDescent="0.25"/>
    <row r="62533" hidden="1" x14ac:dyDescent="0.25"/>
    <row r="62534" hidden="1" x14ac:dyDescent="0.25"/>
    <row r="62535" hidden="1" x14ac:dyDescent="0.25"/>
    <row r="62536" hidden="1" x14ac:dyDescent="0.25"/>
    <row r="62537" hidden="1" x14ac:dyDescent="0.25"/>
    <row r="62538" hidden="1" x14ac:dyDescent="0.25"/>
    <row r="62539" hidden="1" x14ac:dyDescent="0.25"/>
    <row r="62540" hidden="1" x14ac:dyDescent="0.25"/>
    <row r="62541" hidden="1" x14ac:dyDescent="0.25"/>
    <row r="62542" hidden="1" x14ac:dyDescent="0.25"/>
    <row r="62543" hidden="1" x14ac:dyDescent="0.25"/>
    <row r="62544" hidden="1" x14ac:dyDescent="0.25"/>
    <row r="62545" hidden="1" x14ac:dyDescent="0.25"/>
    <row r="62546" hidden="1" x14ac:dyDescent="0.25"/>
    <row r="62547" hidden="1" x14ac:dyDescent="0.25"/>
    <row r="62548" hidden="1" x14ac:dyDescent="0.25"/>
    <row r="62549" hidden="1" x14ac:dyDescent="0.25"/>
    <row r="62550" hidden="1" x14ac:dyDescent="0.25"/>
    <row r="62551" hidden="1" x14ac:dyDescent="0.25"/>
    <row r="62552" hidden="1" x14ac:dyDescent="0.25"/>
    <row r="62553" hidden="1" x14ac:dyDescent="0.25"/>
    <row r="62554" hidden="1" x14ac:dyDescent="0.25"/>
    <row r="62555" hidden="1" x14ac:dyDescent="0.25"/>
    <row r="62556" hidden="1" x14ac:dyDescent="0.25"/>
    <row r="62557" hidden="1" x14ac:dyDescent="0.25"/>
    <row r="62558" hidden="1" x14ac:dyDescent="0.25"/>
    <row r="62559" hidden="1" x14ac:dyDescent="0.25"/>
    <row r="62560" hidden="1" x14ac:dyDescent="0.25"/>
    <row r="62561" hidden="1" x14ac:dyDescent="0.25"/>
    <row r="62562" hidden="1" x14ac:dyDescent="0.25"/>
    <row r="62563" hidden="1" x14ac:dyDescent="0.25"/>
    <row r="62564" hidden="1" x14ac:dyDescent="0.25"/>
    <row r="62565" hidden="1" x14ac:dyDescent="0.25"/>
    <row r="62566" hidden="1" x14ac:dyDescent="0.25"/>
    <row r="62567" hidden="1" x14ac:dyDescent="0.25"/>
    <row r="62568" hidden="1" x14ac:dyDescent="0.25"/>
    <row r="62569" hidden="1" x14ac:dyDescent="0.25"/>
    <row r="62570" hidden="1" x14ac:dyDescent="0.25"/>
    <row r="62571" hidden="1" x14ac:dyDescent="0.25"/>
    <row r="62572" hidden="1" x14ac:dyDescent="0.25"/>
    <row r="62573" hidden="1" x14ac:dyDescent="0.25"/>
    <row r="62574" hidden="1" x14ac:dyDescent="0.25"/>
    <row r="62575" hidden="1" x14ac:dyDescent="0.25"/>
    <row r="62576" hidden="1" x14ac:dyDescent="0.25"/>
    <row r="62577" hidden="1" x14ac:dyDescent="0.25"/>
    <row r="62578" hidden="1" x14ac:dyDescent="0.25"/>
    <row r="62579" hidden="1" x14ac:dyDescent="0.25"/>
    <row r="62580" hidden="1" x14ac:dyDescent="0.25"/>
    <row r="62581" hidden="1" x14ac:dyDescent="0.25"/>
    <row r="62582" hidden="1" x14ac:dyDescent="0.25"/>
    <row r="62583" hidden="1" x14ac:dyDescent="0.25"/>
    <row r="62584" hidden="1" x14ac:dyDescent="0.25"/>
    <row r="62585" hidden="1" x14ac:dyDescent="0.25"/>
    <row r="62586" hidden="1" x14ac:dyDescent="0.25"/>
    <row r="62587" hidden="1" x14ac:dyDescent="0.25"/>
    <row r="62588" hidden="1" x14ac:dyDescent="0.25"/>
    <row r="62589" hidden="1" x14ac:dyDescent="0.25"/>
    <row r="62590" hidden="1" x14ac:dyDescent="0.25"/>
    <row r="62591" hidden="1" x14ac:dyDescent="0.25"/>
    <row r="62592" hidden="1" x14ac:dyDescent="0.25"/>
    <row r="62593" hidden="1" x14ac:dyDescent="0.25"/>
    <row r="62594" hidden="1" x14ac:dyDescent="0.25"/>
    <row r="62595" hidden="1" x14ac:dyDescent="0.25"/>
    <row r="62596" hidden="1" x14ac:dyDescent="0.25"/>
    <row r="62597" hidden="1" x14ac:dyDescent="0.25"/>
    <row r="62598" hidden="1" x14ac:dyDescent="0.25"/>
    <row r="62599" hidden="1" x14ac:dyDescent="0.25"/>
    <row r="62600" hidden="1" x14ac:dyDescent="0.25"/>
    <row r="62601" hidden="1" x14ac:dyDescent="0.25"/>
    <row r="62602" hidden="1" x14ac:dyDescent="0.25"/>
    <row r="62603" hidden="1" x14ac:dyDescent="0.25"/>
    <row r="62604" hidden="1" x14ac:dyDescent="0.25"/>
    <row r="62605" hidden="1" x14ac:dyDescent="0.25"/>
    <row r="62606" hidden="1" x14ac:dyDescent="0.25"/>
    <row r="62607" hidden="1" x14ac:dyDescent="0.25"/>
    <row r="62608" hidden="1" x14ac:dyDescent="0.25"/>
    <row r="62609" hidden="1" x14ac:dyDescent="0.25"/>
    <row r="62610" hidden="1" x14ac:dyDescent="0.25"/>
    <row r="62611" hidden="1" x14ac:dyDescent="0.25"/>
    <row r="62612" hidden="1" x14ac:dyDescent="0.25"/>
    <row r="62613" hidden="1" x14ac:dyDescent="0.25"/>
    <row r="62614" hidden="1" x14ac:dyDescent="0.25"/>
    <row r="62615" hidden="1" x14ac:dyDescent="0.25"/>
    <row r="62616" hidden="1" x14ac:dyDescent="0.25"/>
    <row r="62617" hidden="1" x14ac:dyDescent="0.25"/>
    <row r="62618" hidden="1" x14ac:dyDescent="0.25"/>
    <row r="62619" hidden="1" x14ac:dyDescent="0.25"/>
    <row r="62620" hidden="1" x14ac:dyDescent="0.25"/>
    <row r="62621" hidden="1" x14ac:dyDescent="0.25"/>
    <row r="62622" hidden="1" x14ac:dyDescent="0.25"/>
    <row r="62623" hidden="1" x14ac:dyDescent="0.25"/>
    <row r="62624" hidden="1" x14ac:dyDescent="0.25"/>
    <row r="62625" hidden="1" x14ac:dyDescent="0.25"/>
    <row r="62626" hidden="1" x14ac:dyDescent="0.25"/>
    <row r="62627" hidden="1" x14ac:dyDescent="0.25"/>
    <row r="62628" hidden="1" x14ac:dyDescent="0.25"/>
    <row r="62629" hidden="1" x14ac:dyDescent="0.25"/>
    <row r="62630" hidden="1" x14ac:dyDescent="0.25"/>
    <row r="62631" hidden="1" x14ac:dyDescent="0.25"/>
    <row r="62632" hidden="1" x14ac:dyDescent="0.25"/>
    <row r="62633" hidden="1" x14ac:dyDescent="0.25"/>
    <row r="62634" hidden="1" x14ac:dyDescent="0.25"/>
    <row r="62635" hidden="1" x14ac:dyDescent="0.25"/>
    <row r="62636" hidden="1" x14ac:dyDescent="0.25"/>
    <row r="62637" hidden="1" x14ac:dyDescent="0.25"/>
    <row r="62638" hidden="1" x14ac:dyDescent="0.25"/>
    <row r="62639" hidden="1" x14ac:dyDescent="0.25"/>
    <row r="62640" hidden="1" x14ac:dyDescent="0.25"/>
    <row r="62641" hidden="1" x14ac:dyDescent="0.25"/>
    <row r="62642" hidden="1" x14ac:dyDescent="0.25"/>
    <row r="62643" hidden="1" x14ac:dyDescent="0.25"/>
    <row r="62644" hidden="1" x14ac:dyDescent="0.25"/>
    <row r="62645" hidden="1" x14ac:dyDescent="0.25"/>
    <row r="62646" hidden="1" x14ac:dyDescent="0.25"/>
    <row r="62647" hidden="1" x14ac:dyDescent="0.25"/>
    <row r="62648" hidden="1" x14ac:dyDescent="0.25"/>
    <row r="62649" hidden="1" x14ac:dyDescent="0.25"/>
    <row r="62650" hidden="1" x14ac:dyDescent="0.25"/>
    <row r="62651" hidden="1" x14ac:dyDescent="0.25"/>
    <row r="62652" hidden="1" x14ac:dyDescent="0.25"/>
    <row r="62653" hidden="1" x14ac:dyDescent="0.25"/>
    <row r="62654" hidden="1" x14ac:dyDescent="0.25"/>
    <row r="62655" hidden="1" x14ac:dyDescent="0.25"/>
    <row r="62656" hidden="1" x14ac:dyDescent="0.25"/>
    <row r="62657" hidden="1" x14ac:dyDescent="0.25"/>
    <row r="62658" hidden="1" x14ac:dyDescent="0.25"/>
    <row r="62659" hidden="1" x14ac:dyDescent="0.25"/>
    <row r="62660" hidden="1" x14ac:dyDescent="0.25"/>
    <row r="62661" hidden="1" x14ac:dyDescent="0.25"/>
    <row r="62662" hidden="1" x14ac:dyDescent="0.25"/>
    <row r="62663" hidden="1" x14ac:dyDescent="0.25"/>
    <row r="62664" hidden="1" x14ac:dyDescent="0.25"/>
    <row r="62665" hidden="1" x14ac:dyDescent="0.25"/>
    <row r="62666" hidden="1" x14ac:dyDescent="0.25"/>
    <row r="62667" hidden="1" x14ac:dyDescent="0.25"/>
    <row r="62668" hidden="1" x14ac:dyDescent="0.25"/>
    <row r="62669" hidden="1" x14ac:dyDescent="0.25"/>
    <row r="62670" hidden="1" x14ac:dyDescent="0.25"/>
    <row r="62671" hidden="1" x14ac:dyDescent="0.25"/>
    <row r="62672" hidden="1" x14ac:dyDescent="0.25"/>
    <row r="62673" hidden="1" x14ac:dyDescent="0.25"/>
    <row r="62674" hidden="1" x14ac:dyDescent="0.25"/>
    <row r="62675" hidden="1" x14ac:dyDescent="0.25"/>
    <row r="62676" hidden="1" x14ac:dyDescent="0.25"/>
    <row r="62677" hidden="1" x14ac:dyDescent="0.25"/>
    <row r="62678" hidden="1" x14ac:dyDescent="0.25"/>
    <row r="62679" hidden="1" x14ac:dyDescent="0.25"/>
    <row r="62680" hidden="1" x14ac:dyDescent="0.25"/>
    <row r="62681" hidden="1" x14ac:dyDescent="0.25"/>
    <row r="62682" hidden="1" x14ac:dyDescent="0.25"/>
    <row r="62683" hidden="1" x14ac:dyDescent="0.25"/>
    <row r="62684" hidden="1" x14ac:dyDescent="0.25"/>
    <row r="62685" hidden="1" x14ac:dyDescent="0.25"/>
    <row r="62686" hidden="1" x14ac:dyDescent="0.25"/>
    <row r="62687" hidden="1" x14ac:dyDescent="0.25"/>
    <row r="62688" hidden="1" x14ac:dyDescent="0.25"/>
    <row r="62689" hidden="1" x14ac:dyDescent="0.25"/>
    <row r="62690" hidden="1" x14ac:dyDescent="0.25"/>
    <row r="62691" hidden="1" x14ac:dyDescent="0.25"/>
    <row r="62692" hidden="1" x14ac:dyDescent="0.25"/>
    <row r="62693" hidden="1" x14ac:dyDescent="0.25"/>
    <row r="62694" hidden="1" x14ac:dyDescent="0.25"/>
    <row r="62695" hidden="1" x14ac:dyDescent="0.25"/>
    <row r="62696" hidden="1" x14ac:dyDescent="0.25"/>
    <row r="62697" hidden="1" x14ac:dyDescent="0.25"/>
    <row r="62698" hidden="1" x14ac:dyDescent="0.25"/>
    <row r="62699" hidden="1" x14ac:dyDescent="0.25"/>
    <row r="62700" hidden="1" x14ac:dyDescent="0.25"/>
    <row r="62701" hidden="1" x14ac:dyDescent="0.25"/>
    <row r="62702" hidden="1" x14ac:dyDescent="0.25"/>
    <row r="62703" hidden="1" x14ac:dyDescent="0.25"/>
    <row r="62704" hidden="1" x14ac:dyDescent="0.25"/>
    <row r="62705" hidden="1" x14ac:dyDescent="0.25"/>
    <row r="62706" hidden="1" x14ac:dyDescent="0.25"/>
    <row r="62707" hidden="1" x14ac:dyDescent="0.25"/>
    <row r="62708" hidden="1" x14ac:dyDescent="0.25"/>
    <row r="62709" hidden="1" x14ac:dyDescent="0.25"/>
    <row r="62710" hidden="1" x14ac:dyDescent="0.25"/>
    <row r="62711" hidden="1" x14ac:dyDescent="0.25"/>
    <row r="62712" hidden="1" x14ac:dyDescent="0.25"/>
    <row r="62713" hidden="1" x14ac:dyDescent="0.25"/>
    <row r="62714" hidden="1" x14ac:dyDescent="0.25"/>
    <row r="62715" hidden="1" x14ac:dyDescent="0.25"/>
    <row r="62716" hidden="1" x14ac:dyDescent="0.25"/>
    <row r="62717" hidden="1" x14ac:dyDescent="0.25"/>
    <row r="62718" hidden="1" x14ac:dyDescent="0.25"/>
    <row r="62719" hidden="1" x14ac:dyDescent="0.25"/>
    <row r="62720" hidden="1" x14ac:dyDescent="0.25"/>
    <row r="62721" hidden="1" x14ac:dyDescent="0.25"/>
    <row r="62722" hidden="1" x14ac:dyDescent="0.25"/>
    <row r="62723" hidden="1" x14ac:dyDescent="0.25"/>
    <row r="62724" hidden="1" x14ac:dyDescent="0.25"/>
    <row r="62725" hidden="1" x14ac:dyDescent="0.25"/>
    <row r="62726" hidden="1" x14ac:dyDescent="0.25"/>
    <row r="62727" hidden="1" x14ac:dyDescent="0.25"/>
    <row r="62728" hidden="1" x14ac:dyDescent="0.25"/>
    <row r="62729" hidden="1" x14ac:dyDescent="0.25"/>
    <row r="62730" hidden="1" x14ac:dyDescent="0.25"/>
    <row r="62731" hidden="1" x14ac:dyDescent="0.25"/>
    <row r="62732" hidden="1" x14ac:dyDescent="0.25"/>
    <row r="62733" hidden="1" x14ac:dyDescent="0.25"/>
    <row r="62734" hidden="1" x14ac:dyDescent="0.25"/>
    <row r="62735" hidden="1" x14ac:dyDescent="0.25"/>
    <row r="62736" hidden="1" x14ac:dyDescent="0.25"/>
    <row r="62737" hidden="1" x14ac:dyDescent="0.25"/>
    <row r="62738" hidden="1" x14ac:dyDescent="0.25"/>
    <row r="62739" hidden="1" x14ac:dyDescent="0.25"/>
    <row r="62740" hidden="1" x14ac:dyDescent="0.25"/>
    <row r="62741" hidden="1" x14ac:dyDescent="0.25"/>
    <row r="62742" hidden="1" x14ac:dyDescent="0.25"/>
    <row r="62743" hidden="1" x14ac:dyDescent="0.25"/>
    <row r="62744" hidden="1" x14ac:dyDescent="0.25"/>
    <row r="62745" hidden="1" x14ac:dyDescent="0.25"/>
    <row r="62746" hidden="1" x14ac:dyDescent="0.25"/>
    <row r="62747" hidden="1" x14ac:dyDescent="0.25"/>
    <row r="62748" hidden="1" x14ac:dyDescent="0.25"/>
    <row r="62749" hidden="1" x14ac:dyDescent="0.25"/>
    <row r="62750" hidden="1" x14ac:dyDescent="0.25"/>
    <row r="62751" hidden="1" x14ac:dyDescent="0.25"/>
    <row r="62752" hidden="1" x14ac:dyDescent="0.25"/>
    <row r="62753" hidden="1" x14ac:dyDescent="0.25"/>
    <row r="62754" hidden="1" x14ac:dyDescent="0.25"/>
    <row r="62755" hidden="1" x14ac:dyDescent="0.25"/>
    <row r="62756" hidden="1" x14ac:dyDescent="0.25"/>
    <row r="62757" hidden="1" x14ac:dyDescent="0.25"/>
    <row r="62758" hidden="1" x14ac:dyDescent="0.25"/>
    <row r="62759" hidden="1" x14ac:dyDescent="0.25"/>
    <row r="62760" hidden="1" x14ac:dyDescent="0.25"/>
    <row r="62761" hidden="1" x14ac:dyDescent="0.25"/>
    <row r="62762" hidden="1" x14ac:dyDescent="0.25"/>
    <row r="62763" hidden="1" x14ac:dyDescent="0.25"/>
    <row r="62764" hidden="1" x14ac:dyDescent="0.25"/>
    <row r="62765" hidden="1" x14ac:dyDescent="0.25"/>
    <row r="62766" hidden="1" x14ac:dyDescent="0.25"/>
    <row r="62767" hidden="1" x14ac:dyDescent="0.25"/>
    <row r="62768" hidden="1" x14ac:dyDescent="0.25"/>
    <row r="62769" hidden="1" x14ac:dyDescent="0.25"/>
    <row r="62770" hidden="1" x14ac:dyDescent="0.25"/>
    <row r="62771" hidden="1" x14ac:dyDescent="0.25"/>
    <row r="62772" hidden="1" x14ac:dyDescent="0.25"/>
    <row r="62773" hidden="1" x14ac:dyDescent="0.25"/>
    <row r="62774" hidden="1" x14ac:dyDescent="0.25"/>
    <row r="62775" hidden="1" x14ac:dyDescent="0.25"/>
    <row r="62776" hidden="1" x14ac:dyDescent="0.25"/>
    <row r="62777" hidden="1" x14ac:dyDescent="0.25"/>
    <row r="62778" hidden="1" x14ac:dyDescent="0.25"/>
    <row r="62779" hidden="1" x14ac:dyDescent="0.25"/>
    <row r="62780" hidden="1" x14ac:dyDescent="0.25"/>
    <row r="62781" hidden="1" x14ac:dyDescent="0.25"/>
    <row r="62782" hidden="1" x14ac:dyDescent="0.25"/>
    <row r="62783" hidden="1" x14ac:dyDescent="0.25"/>
    <row r="62784" hidden="1" x14ac:dyDescent="0.25"/>
    <row r="62785" hidden="1" x14ac:dyDescent="0.25"/>
    <row r="62786" hidden="1" x14ac:dyDescent="0.25"/>
    <row r="62787" hidden="1" x14ac:dyDescent="0.25"/>
    <row r="62788" hidden="1" x14ac:dyDescent="0.25"/>
    <row r="62789" hidden="1" x14ac:dyDescent="0.25"/>
    <row r="62790" hidden="1" x14ac:dyDescent="0.25"/>
    <row r="62791" hidden="1" x14ac:dyDescent="0.25"/>
    <row r="62792" hidden="1" x14ac:dyDescent="0.25"/>
    <row r="62793" hidden="1" x14ac:dyDescent="0.25"/>
    <row r="62794" hidden="1" x14ac:dyDescent="0.25"/>
    <row r="62795" hidden="1" x14ac:dyDescent="0.25"/>
    <row r="62796" hidden="1" x14ac:dyDescent="0.25"/>
    <row r="62797" hidden="1" x14ac:dyDescent="0.25"/>
    <row r="62798" hidden="1" x14ac:dyDescent="0.25"/>
    <row r="62799" hidden="1" x14ac:dyDescent="0.25"/>
    <row r="62800" hidden="1" x14ac:dyDescent="0.25"/>
    <row r="62801" hidden="1" x14ac:dyDescent="0.25"/>
    <row r="62802" hidden="1" x14ac:dyDescent="0.25"/>
    <row r="62803" hidden="1" x14ac:dyDescent="0.25"/>
    <row r="62804" hidden="1" x14ac:dyDescent="0.25"/>
    <row r="62805" hidden="1" x14ac:dyDescent="0.25"/>
    <row r="62806" hidden="1" x14ac:dyDescent="0.25"/>
    <row r="62807" hidden="1" x14ac:dyDescent="0.25"/>
    <row r="62808" hidden="1" x14ac:dyDescent="0.25"/>
    <row r="62809" hidden="1" x14ac:dyDescent="0.25"/>
    <row r="62810" hidden="1" x14ac:dyDescent="0.25"/>
    <row r="62811" hidden="1" x14ac:dyDescent="0.25"/>
    <row r="62812" hidden="1" x14ac:dyDescent="0.25"/>
    <row r="62813" hidden="1" x14ac:dyDescent="0.25"/>
    <row r="62814" hidden="1" x14ac:dyDescent="0.25"/>
    <row r="62815" hidden="1" x14ac:dyDescent="0.25"/>
    <row r="62816" hidden="1" x14ac:dyDescent="0.25"/>
    <row r="62817" hidden="1" x14ac:dyDescent="0.25"/>
    <row r="62818" hidden="1" x14ac:dyDescent="0.25"/>
    <row r="62819" hidden="1" x14ac:dyDescent="0.25"/>
    <row r="62820" hidden="1" x14ac:dyDescent="0.25"/>
    <row r="62821" hidden="1" x14ac:dyDescent="0.25"/>
    <row r="62822" hidden="1" x14ac:dyDescent="0.25"/>
    <row r="62823" hidden="1" x14ac:dyDescent="0.25"/>
    <row r="62824" hidden="1" x14ac:dyDescent="0.25"/>
    <row r="62825" hidden="1" x14ac:dyDescent="0.25"/>
    <row r="62826" hidden="1" x14ac:dyDescent="0.25"/>
    <row r="62827" hidden="1" x14ac:dyDescent="0.25"/>
    <row r="62828" hidden="1" x14ac:dyDescent="0.25"/>
    <row r="62829" hidden="1" x14ac:dyDescent="0.25"/>
    <row r="62830" hidden="1" x14ac:dyDescent="0.25"/>
    <row r="62831" hidden="1" x14ac:dyDescent="0.25"/>
    <row r="62832" hidden="1" x14ac:dyDescent="0.25"/>
    <row r="62833" hidden="1" x14ac:dyDescent="0.25"/>
    <row r="62834" hidden="1" x14ac:dyDescent="0.25"/>
    <row r="62835" hidden="1" x14ac:dyDescent="0.25"/>
    <row r="62836" hidden="1" x14ac:dyDescent="0.25"/>
    <row r="62837" hidden="1" x14ac:dyDescent="0.25"/>
    <row r="62838" hidden="1" x14ac:dyDescent="0.25"/>
    <row r="62839" hidden="1" x14ac:dyDescent="0.25"/>
    <row r="62840" hidden="1" x14ac:dyDescent="0.25"/>
    <row r="62841" hidden="1" x14ac:dyDescent="0.25"/>
    <row r="62842" hidden="1" x14ac:dyDescent="0.25"/>
    <row r="62843" hidden="1" x14ac:dyDescent="0.25"/>
    <row r="62844" hidden="1" x14ac:dyDescent="0.25"/>
    <row r="62845" hidden="1" x14ac:dyDescent="0.25"/>
    <row r="62846" hidden="1" x14ac:dyDescent="0.25"/>
    <row r="62847" hidden="1" x14ac:dyDescent="0.25"/>
    <row r="62848" hidden="1" x14ac:dyDescent="0.25"/>
    <row r="62849" hidden="1" x14ac:dyDescent="0.25"/>
    <row r="62850" hidden="1" x14ac:dyDescent="0.25"/>
    <row r="62851" hidden="1" x14ac:dyDescent="0.25"/>
    <row r="62852" hidden="1" x14ac:dyDescent="0.25"/>
    <row r="62853" hidden="1" x14ac:dyDescent="0.25"/>
    <row r="62854" hidden="1" x14ac:dyDescent="0.25"/>
    <row r="62855" hidden="1" x14ac:dyDescent="0.25"/>
    <row r="62856" hidden="1" x14ac:dyDescent="0.25"/>
    <row r="62857" hidden="1" x14ac:dyDescent="0.25"/>
    <row r="62858" hidden="1" x14ac:dyDescent="0.25"/>
    <row r="62859" hidden="1" x14ac:dyDescent="0.25"/>
    <row r="62860" hidden="1" x14ac:dyDescent="0.25"/>
    <row r="62861" hidden="1" x14ac:dyDescent="0.25"/>
    <row r="62862" hidden="1" x14ac:dyDescent="0.25"/>
    <row r="62863" hidden="1" x14ac:dyDescent="0.25"/>
    <row r="62864" hidden="1" x14ac:dyDescent="0.25"/>
    <row r="62865" hidden="1" x14ac:dyDescent="0.25"/>
    <row r="62866" hidden="1" x14ac:dyDescent="0.25"/>
    <row r="62867" hidden="1" x14ac:dyDescent="0.25"/>
    <row r="62868" hidden="1" x14ac:dyDescent="0.25"/>
    <row r="62869" hidden="1" x14ac:dyDescent="0.25"/>
    <row r="62870" hidden="1" x14ac:dyDescent="0.25"/>
    <row r="62871" hidden="1" x14ac:dyDescent="0.25"/>
    <row r="62872" hidden="1" x14ac:dyDescent="0.25"/>
    <row r="62873" hidden="1" x14ac:dyDescent="0.25"/>
    <row r="62874" hidden="1" x14ac:dyDescent="0.25"/>
    <row r="62875" hidden="1" x14ac:dyDescent="0.25"/>
    <row r="62876" hidden="1" x14ac:dyDescent="0.25"/>
    <row r="62877" hidden="1" x14ac:dyDescent="0.25"/>
    <row r="62878" hidden="1" x14ac:dyDescent="0.25"/>
    <row r="62879" hidden="1" x14ac:dyDescent="0.25"/>
    <row r="62880" hidden="1" x14ac:dyDescent="0.25"/>
    <row r="62881" hidden="1" x14ac:dyDescent="0.25"/>
    <row r="62882" hidden="1" x14ac:dyDescent="0.25"/>
    <row r="62883" hidden="1" x14ac:dyDescent="0.25"/>
    <row r="62884" hidden="1" x14ac:dyDescent="0.25"/>
    <row r="62885" hidden="1" x14ac:dyDescent="0.25"/>
    <row r="62886" hidden="1" x14ac:dyDescent="0.25"/>
    <row r="62887" hidden="1" x14ac:dyDescent="0.25"/>
    <row r="62888" hidden="1" x14ac:dyDescent="0.25"/>
    <row r="62889" hidden="1" x14ac:dyDescent="0.25"/>
    <row r="62890" hidden="1" x14ac:dyDescent="0.25"/>
    <row r="62891" hidden="1" x14ac:dyDescent="0.25"/>
    <row r="62892" hidden="1" x14ac:dyDescent="0.25"/>
    <row r="62893" hidden="1" x14ac:dyDescent="0.25"/>
    <row r="62894" hidden="1" x14ac:dyDescent="0.25"/>
    <row r="62895" hidden="1" x14ac:dyDescent="0.25"/>
    <row r="62896" hidden="1" x14ac:dyDescent="0.25"/>
    <row r="62897" hidden="1" x14ac:dyDescent="0.25"/>
    <row r="62898" hidden="1" x14ac:dyDescent="0.25"/>
    <row r="62899" hidden="1" x14ac:dyDescent="0.25"/>
    <row r="62900" hidden="1" x14ac:dyDescent="0.25"/>
    <row r="62901" hidden="1" x14ac:dyDescent="0.25"/>
    <row r="62902" hidden="1" x14ac:dyDescent="0.25"/>
    <row r="62903" hidden="1" x14ac:dyDescent="0.25"/>
    <row r="62904" hidden="1" x14ac:dyDescent="0.25"/>
    <row r="62905" hidden="1" x14ac:dyDescent="0.25"/>
    <row r="62906" hidden="1" x14ac:dyDescent="0.25"/>
    <row r="62907" hidden="1" x14ac:dyDescent="0.25"/>
    <row r="62908" hidden="1" x14ac:dyDescent="0.25"/>
    <row r="62909" hidden="1" x14ac:dyDescent="0.25"/>
    <row r="62910" hidden="1" x14ac:dyDescent="0.25"/>
    <row r="62911" hidden="1" x14ac:dyDescent="0.25"/>
    <row r="62912" hidden="1" x14ac:dyDescent="0.25"/>
    <row r="62913" hidden="1" x14ac:dyDescent="0.25"/>
    <row r="62914" hidden="1" x14ac:dyDescent="0.25"/>
    <row r="62915" hidden="1" x14ac:dyDescent="0.25"/>
    <row r="62916" hidden="1" x14ac:dyDescent="0.25"/>
    <row r="62917" hidden="1" x14ac:dyDescent="0.25"/>
    <row r="62918" hidden="1" x14ac:dyDescent="0.25"/>
    <row r="62919" hidden="1" x14ac:dyDescent="0.25"/>
    <row r="62920" hidden="1" x14ac:dyDescent="0.25"/>
    <row r="62921" hidden="1" x14ac:dyDescent="0.25"/>
    <row r="62922" hidden="1" x14ac:dyDescent="0.25"/>
    <row r="62923" hidden="1" x14ac:dyDescent="0.25"/>
    <row r="62924" hidden="1" x14ac:dyDescent="0.25"/>
    <row r="62925" hidden="1" x14ac:dyDescent="0.25"/>
    <row r="62926" hidden="1" x14ac:dyDescent="0.25"/>
    <row r="62927" hidden="1" x14ac:dyDescent="0.25"/>
    <row r="62928" hidden="1" x14ac:dyDescent="0.25"/>
    <row r="62929" hidden="1" x14ac:dyDescent="0.25"/>
    <row r="62930" hidden="1" x14ac:dyDescent="0.25"/>
    <row r="62931" hidden="1" x14ac:dyDescent="0.25"/>
    <row r="62932" hidden="1" x14ac:dyDescent="0.25"/>
    <row r="62933" hidden="1" x14ac:dyDescent="0.25"/>
    <row r="62934" hidden="1" x14ac:dyDescent="0.25"/>
    <row r="62935" hidden="1" x14ac:dyDescent="0.25"/>
    <row r="62936" hidden="1" x14ac:dyDescent="0.25"/>
    <row r="62937" hidden="1" x14ac:dyDescent="0.25"/>
    <row r="62938" hidden="1" x14ac:dyDescent="0.25"/>
    <row r="62939" hidden="1" x14ac:dyDescent="0.25"/>
    <row r="62940" hidden="1" x14ac:dyDescent="0.25"/>
    <row r="62941" hidden="1" x14ac:dyDescent="0.25"/>
    <row r="62942" hidden="1" x14ac:dyDescent="0.25"/>
    <row r="62943" hidden="1" x14ac:dyDescent="0.25"/>
    <row r="62944" hidden="1" x14ac:dyDescent="0.25"/>
    <row r="62945" hidden="1" x14ac:dyDescent="0.25"/>
    <row r="62946" hidden="1" x14ac:dyDescent="0.25"/>
    <row r="62947" hidden="1" x14ac:dyDescent="0.25"/>
    <row r="62948" hidden="1" x14ac:dyDescent="0.25"/>
    <row r="62949" hidden="1" x14ac:dyDescent="0.25"/>
    <row r="62950" hidden="1" x14ac:dyDescent="0.25"/>
    <row r="62951" hidden="1" x14ac:dyDescent="0.25"/>
    <row r="62952" hidden="1" x14ac:dyDescent="0.25"/>
    <row r="62953" hidden="1" x14ac:dyDescent="0.25"/>
    <row r="62954" hidden="1" x14ac:dyDescent="0.25"/>
    <row r="62955" hidden="1" x14ac:dyDescent="0.25"/>
    <row r="62956" hidden="1" x14ac:dyDescent="0.25"/>
    <row r="62957" hidden="1" x14ac:dyDescent="0.25"/>
    <row r="62958" hidden="1" x14ac:dyDescent="0.25"/>
    <row r="62959" hidden="1" x14ac:dyDescent="0.25"/>
    <row r="62960" hidden="1" x14ac:dyDescent="0.25"/>
    <row r="62961" hidden="1" x14ac:dyDescent="0.25"/>
    <row r="62962" hidden="1" x14ac:dyDescent="0.25"/>
    <row r="62963" hidden="1" x14ac:dyDescent="0.25"/>
    <row r="62964" hidden="1" x14ac:dyDescent="0.25"/>
    <row r="62965" hidden="1" x14ac:dyDescent="0.25"/>
    <row r="62966" hidden="1" x14ac:dyDescent="0.25"/>
    <row r="62967" hidden="1" x14ac:dyDescent="0.25"/>
    <row r="62968" hidden="1" x14ac:dyDescent="0.25"/>
    <row r="62969" hidden="1" x14ac:dyDescent="0.25"/>
    <row r="62970" hidden="1" x14ac:dyDescent="0.25"/>
    <row r="62971" hidden="1" x14ac:dyDescent="0.25"/>
    <row r="62972" hidden="1" x14ac:dyDescent="0.25"/>
    <row r="62973" hidden="1" x14ac:dyDescent="0.25"/>
    <row r="62974" hidden="1" x14ac:dyDescent="0.25"/>
    <row r="62975" hidden="1" x14ac:dyDescent="0.25"/>
    <row r="62976" hidden="1" x14ac:dyDescent="0.25"/>
    <row r="62977" hidden="1" x14ac:dyDescent="0.25"/>
    <row r="62978" hidden="1" x14ac:dyDescent="0.25"/>
    <row r="62979" hidden="1" x14ac:dyDescent="0.25"/>
    <row r="62980" hidden="1" x14ac:dyDescent="0.25"/>
    <row r="62981" hidden="1" x14ac:dyDescent="0.25"/>
    <row r="62982" hidden="1" x14ac:dyDescent="0.25"/>
    <row r="62983" hidden="1" x14ac:dyDescent="0.25"/>
    <row r="62984" hidden="1" x14ac:dyDescent="0.25"/>
    <row r="62985" hidden="1" x14ac:dyDescent="0.25"/>
    <row r="62986" hidden="1" x14ac:dyDescent="0.25"/>
    <row r="62987" hidden="1" x14ac:dyDescent="0.25"/>
    <row r="62988" hidden="1" x14ac:dyDescent="0.25"/>
    <row r="62989" hidden="1" x14ac:dyDescent="0.25"/>
    <row r="62990" hidden="1" x14ac:dyDescent="0.25"/>
    <row r="62991" hidden="1" x14ac:dyDescent="0.25"/>
    <row r="62992" hidden="1" x14ac:dyDescent="0.25"/>
    <row r="62993" hidden="1" x14ac:dyDescent="0.25"/>
    <row r="62994" hidden="1" x14ac:dyDescent="0.25"/>
    <row r="62995" hidden="1" x14ac:dyDescent="0.25"/>
    <row r="62996" hidden="1" x14ac:dyDescent="0.25"/>
    <row r="62997" hidden="1" x14ac:dyDescent="0.25"/>
    <row r="62998" hidden="1" x14ac:dyDescent="0.25"/>
    <row r="62999" hidden="1" x14ac:dyDescent="0.25"/>
    <row r="63000" hidden="1" x14ac:dyDescent="0.25"/>
    <row r="63001" hidden="1" x14ac:dyDescent="0.25"/>
    <row r="63002" hidden="1" x14ac:dyDescent="0.25"/>
    <row r="63003" hidden="1" x14ac:dyDescent="0.25"/>
    <row r="63004" hidden="1" x14ac:dyDescent="0.25"/>
    <row r="63005" hidden="1" x14ac:dyDescent="0.25"/>
    <row r="63006" hidden="1" x14ac:dyDescent="0.25"/>
    <row r="63007" hidden="1" x14ac:dyDescent="0.25"/>
    <row r="63008" hidden="1" x14ac:dyDescent="0.25"/>
    <row r="63009" hidden="1" x14ac:dyDescent="0.25"/>
    <row r="63010" hidden="1" x14ac:dyDescent="0.25"/>
    <row r="63011" hidden="1" x14ac:dyDescent="0.25"/>
    <row r="63012" hidden="1" x14ac:dyDescent="0.25"/>
    <row r="63013" hidden="1" x14ac:dyDescent="0.25"/>
    <row r="63014" hidden="1" x14ac:dyDescent="0.25"/>
    <row r="63015" hidden="1" x14ac:dyDescent="0.25"/>
    <row r="63016" hidden="1" x14ac:dyDescent="0.25"/>
    <row r="63017" hidden="1" x14ac:dyDescent="0.25"/>
    <row r="63018" hidden="1" x14ac:dyDescent="0.25"/>
    <row r="63019" hidden="1" x14ac:dyDescent="0.25"/>
    <row r="63020" hidden="1" x14ac:dyDescent="0.25"/>
    <row r="63021" hidden="1" x14ac:dyDescent="0.25"/>
    <row r="63022" hidden="1" x14ac:dyDescent="0.25"/>
    <row r="63023" hidden="1" x14ac:dyDescent="0.25"/>
    <row r="63024" hidden="1" x14ac:dyDescent="0.25"/>
    <row r="63025" hidden="1" x14ac:dyDescent="0.25"/>
    <row r="63026" hidden="1" x14ac:dyDescent="0.25"/>
    <row r="63027" hidden="1" x14ac:dyDescent="0.25"/>
    <row r="63028" hidden="1" x14ac:dyDescent="0.25"/>
    <row r="63029" hidden="1" x14ac:dyDescent="0.25"/>
    <row r="63030" hidden="1" x14ac:dyDescent="0.25"/>
    <row r="63031" hidden="1" x14ac:dyDescent="0.25"/>
    <row r="63032" hidden="1" x14ac:dyDescent="0.25"/>
    <row r="63033" hidden="1" x14ac:dyDescent="0.25"/>
    <row r="63034" hidden="1" x14ac:dyDescent="0.25"/>
    <row r="63035" hidden="1" x14ac:dyDescent="0.25"/>
    <row r="63036" hidden="1" x14ac:dyDescent="0.25"/>
    <row r="63037" hidden="1" x14ac:dyDescent="0.25"/>
    <row r="63038" hidden="1" x14ac:dyDescent="0.25"/>
    <row r="63039" hidden="1" x14ac:dyDescent="0.25"/>
    <row r="63040" hidden="1" x14ac:dyDescent="0.25"/>
    <row r="63041" hidden="1" x14ac:dyDescent="0.25"/>
    <row r="63042" hidden="1" x14ac:dyDescent="0.25"/>
    <row r="63043" hidden="1" x14ac:dyDescent="0.25"/>
    <row r="63044" hidden="1" x14ac:dyDescent="0.25"/>
    <row r="63045" hidden="1" x14ac:dyDescent="0.25"/>
    <row r="63046" hidden="1" x14ac:dyDescent="0.25"/>
    <row r="63047" hidden="1" x14ac:dyDescent="0.25"/>
    <row r="63048" hidden="1" x14ac:dyDescent="0.25"/>
    <row r="63049" hidden="1" x14ac:dyDescent="0.25"/>
    <row r="63050" hidden="1" x14ac:dyDescent="0.25"/>
    <row r="63051" hidden="1" x14ac:dyDescent="0.25"/>
    <row r="63052" hidden="1" x14ac:dyDescent="0.25"/>
    <row r="63053" hidden="1" x14ac:dyDescent="0.25"/>
    <row r="63054" hidden="1" x14ac:dyDescent="0.25"/>
    <row r="63055" hidden="1" x14ac:dyDescent="0.25"/>
    <row r="63056" hidden="1" x14ac:dyDescent="0.25"/>
    <row r="63057" hidden="1" x14ac:dyDescent="0.25"/>
    <row r="63058" hidden="1" x14ac:dyDescent="0.25"/>
    <row r="63059" hidden="1" x14ac:dyDescent="0.25"/>
    <row r="63060" hidden="1" x14ac:dyDescent="0.25"/>
    <row r="63061" hidden="1" x14ac:dyDescent="0.25"/>
    <row r="63062" hidden="1" x14ac:dyDescent="0.25"/>
    <row r="63063" hidden="1" x14ac:dyDescent="0.25"/>
    <row r="63064" hidden="1" x14ac:dyDescent="0.25"/>
    <row r="63065" hidden="1" x14ac:dyDescent="0.25"/>
    <row r="63066" hidden="1" x14ac:dyDescent="0.25"/>
    <row r="63067" hidden="1" x14ac:dyDescent="0.25"/>
    <row r="63068" hidden="1" x14ac:dyDescent="0.25"/>
    <row r="63069" hidden="1" x14ac:dyDescent="0.25"/>
    <row r="63070" hidden="1" x14ac:dyDescent="0.25"/>
    <row r="63071" hidden="1" x14ac:dyDescent="0.25"/>
    <row r="63072" hidden="1" x14ac:dyDescent="0.25"/>
    <row r="63073" hidden="1" x14ac:dyDescent="0.25"/>
    <row r="63074" hidden="1" x14ac:dyDescent="0.25"/>
    <row r="63075" hidden="1" x14ac:dyDescent="0.25"/>
    <row r="63076" hidden="1" x14ac:dyDescent="0.25"/>
    <row r="63077" hidden="1" x14ac:dyDescent="0.25"/>
    <row r="63078" hidden="1" x14ac:dyDescent="0.25"/>
    <row r="63079" hidden="1" x14ac:dyDescent="0.25"/>
    <row r="63080" hidden="1" x14ac:dyDescent="0.25"/>
    <row r="63081" hidden="1" x14ac:dyDescent="0.25"/>
    <row r="63082" hidden="1" x14ac:dyDescent="0.25"/>
    <row r="63083" hidden="1" x14ac:dyDescent="0.25"/>
    <row r="63084" hidden="1" x14ac:dyDescent="0.25"/>
    <row r="63085" hidden="1" x14ac:dyDescent="0.25"/>
    <row r="63086" hidden="1" x14ac:dyDescent="0.25"/>
    <row r="63087" hidden="1" x14ac:dyDescent="0.25"/>
    <row r="63088" hidden="1" x14ac:dyDescent="0.25"/>
    <row r="63089" hidden="1" x14ac:dyDescent="0.25"/>
    <row r="63090" hidden="1" x14ac:dyDescent="0.25"/>
    <row r="63091" hidden="1" x14ac:dyDescent="0.25"/>
    <row r="63092" hidden="1" x14ac:dyDescent="0.25"/>
    <row r="63093" hidden="1" x14ac:dyDescent="0.25"/>
    <row r="63094" hidden="1" x14ac:dyDescent="0.25"/>
    <row r="63095" hidden="1" x14ac:dyDescent="0.25"/>
    <row r="63096" hidden="1" x14ac:dyDescent="0.25"/>
    <row r="63097" hidden="1" x14ac:dyDescent="0.25"/>
    <row r="63098" hidden="1" x14ac:dyDescent="0.25"/>
    <row r="63099" hidden="1" x14ac:dyDescent="0.25"/>
    <row r="63100" hidden="1" x14ac:dyDescent="0.25"/>
    <row r="63101" hidden="1" x14ac:dyDescent="0.25"/>
    <row r="63102" hidden="1" x14ac:dyDescent="0.25"/>
    <row r="63103" hidden="1" x14ac:dyDescent="0.25"/>
    <row r="63104" hidden="1" x14ac:dyDescent="0.25"/>
    <row r="63105" hidden="1" x14ac:dyDescent="0.25"/>
    <row r="63106" hidden="1" x14ac:dyDescent="0.25"/>
    <row r="63107" hidden="1" x14ac:dyDescent="0.25"/>
    <row r="63108" hidden="1" x14ac:dyDescent="0.25"/>
    <row r="63109" hidden="1" x14ac:dyDescent="0.25"/>
    <row r="63110" hidden="1" x14ac:dyDescent="0.25"/>
    <row r="63111" hidden="1" x14ac:dyDescent="0.25"/>
    <row r="63112" hidden="1" x14ac:dyDescent="0.25"/>
    <row r="63113" hidden="1" x14ac:dyDescent="0.25"/>
    <row r="63114" hidden="1" x14ac:dyDescent="0.25"/>
    <row r="63115" hidden="1" x14ac:dyDescent="0.25"/>
    <row r="63116" hidden="1" x14ac:dyDescent="0.25"/>
    <row r="63117" hidden="1" x14ac:dyDescent="0.25"/>
    <row r="63118" hidden="1" x14ac:dyDescent="0.25"/>
    <row r="63119" hidden="1" x14ac:dyDescent="0.25"/>
    <row r="63120" hidden="1" x14ac:dyDescent="0.25"/>
    <row r="63121" hidden="1" x14ac:dyDescent="0.25"/>
    <row r="63122" hidden="1" x14ac:dyDescent="0.25"/>
    <row r="63123" hidden="1" x14ac:dyDescent="0.25"/>
    <row r="63124" hidden="1" x14ac:dyDescent="0.25"/>
    <row r="63125" hidden="1" x14ac:dyDescent="0.25"/>
    <row r="63126" hidden="1" x14ac:dyDescent="0.25"/>
    <row r="63127" hidden="1" x14ac:dyDescent="0.25"/>
    <row r="63128" hidden="1" x14ac:dyDescent="0.25"/>
    <row r="63129" hidden="1" x14ac:dyDescent="0.25"/>
    <row r="63130" hidden="1" x14ac:dyDescent="0.25"/>
    <row r="63131" hidden="1" x14ac:dyDescent="0.25"/>
    <row r="63132" hidden="1" x14ac:dyDescent="0.25"/>
    <row r="63133" hidden="1" x14ac:dyDescent="0.25"/>
    <row r="63134" hidden="1" x14ac:dyDescent="0.25"/>
    <row r="63135" hidden="1" x14ac:dyDescent="0.25"/>
    <row r="63136" hidden="1" x14ac:dyDescent="0.25"/>
    <row r="63137" hidden="1" x14ac:dyDescent="0.25"/>
    <row r="63138" hidden="1" x14ac:dyDescent="0.25"/>
    <row r="63139" hidden="1" x14ac:dyDescent="0.25"/>
    <row r="63140" hidden="1" x14ac:dyDescent="0.25"/>
    <row r="63141" hidden="1" x14ac:dyDescent="0.25"/>
    <row r="63142" hidden="1" x14ac:dyDescent="0.25"/>
    <row r="63143" hidden="1" x14ac:dyDescent="0.25"/>
    <row r="63144" hidden="1" x14ac:dyDescent="0.25"/>
    <row r="63145" hidden="1" x14ac:dyDescent="0.25"/>
    <row r="63146" hidden="1" x14ac:dyDescent="0.25"/>
    <row r="63147" hidden="1" x14ac:dyDescent="0.25"/>
    <row r="63148" hidden="1" x14ac:dyDescent="0.25"/>
    <row r="63149" hidden="1" x14ac:dyDescent="0.25"/>
    <row r="63150" hidden="1" x14ac:dyDescent="0.25"/>
    <row r="63151" hidden="1" x14ac:dyDescent="0.25"/>
    <row r="63152" hidden="1" x14ac:dyDescent="0.25"/>
    <row r="63153" hidden="1" x14ac:dyDescent="0.25"/>
    <row r="63154" hidden="1" x14ac:dyDescent="0.25"/>
    <row r="63155" hidden="1" x14ac:dyDescent="0.25"/>
    <row r="63156" hidden="1" x14ac:dyDescent="0.25"/>
    <row r="63157" hidden="1" x14ac:dyDescent="0.25"/>
    <row r="63158" hidden="1" x14ac:dyDescent="0.25"/>
    <row r="63159" hidden="1" x14ac:dyDescent="0.25"/>
    <row r="63160" hidden="1" x14ac:dyDescent="0.25"/>
    <row r="63161" hidden="1" x14ac:dyDescent="0.25"/>
    <row r="63162" hidden="1" x14ac:dyDescent="0.25"/>
    <row r="63163" hidden="1" x14ac:dyDescent="0.25"/>
    <row r="63164" hidden="1" x14ac:dyDescent="0.25"/>
    <row r="63165" hidden="1" x14ac:dyDescent="0.25"/>
    <row r="63166" hidden="1" x14ac:dyDescent="0.25"/>
    <row r="63167" hidden="1" x14ac:dyDescent="0.25"/>
    <row r="63168" hidden="1" x14ac:dyDescent="0.25"/>
    <row r="63169" hidden="1" x14ac:dyDescent="0.25"/>
    <row r="63170" hidden="1" x14ac:dyDescent="0.25"/>
    <row r="63171" hidden="1" x14ac:dyDescent="0.25"/>
    <row r="63172" hidden="1" x14ac:dyDescent="0.25"/>
    <row r="63173" hidden="1" x14ac:dyDescent="0.25"/>
    <row r="63174" hidden="1" x14ac:dyDescent="0.25"/>
    <row r="63175" hidden="1" x14ac:dyDescent="0.25"/>
    <row r="63176" hidden="1" x14ac:dyDescent="0.25"/>
    <row r="63177" hidden="1" x14ac:dyDescent="0.25"/>
    <row r="63178" hidden="1" x14ac:dyDescent="0.25"/>
    <row r="63179" hidden="1" x14ac:dyDescent="0.25"/>
    <row r="63180" hidden="1" x14ac:dyDescent="0.25"/>
    <row r="63181" hidden="1" x14ac:dyDescent="0.25"/>
    <row r="63182" hidden="1" x14ac:dyDescent="0.25"/>
    <row r="63183" hidden="1" x14ac:dyDescent="0.25"/>
    <row r="63184" hidden="1" x14ac:dyDescent="0.25"/>
    <row r="63185" hidden="1" x14ac:dyDescent="0.25"/>
    <row r="63186" hidden="1" x14ac:dyDescent="0.25"/>
    <row r="63187" hidden="1" x14ac:dyDescent="0.25"/>
    <row r="63188" hidden="1" x14ac:dyDescent="0.25"/>
    <row r="63189" hidden="1" x14ac:dyDescent="0.25"/>
    <row r="63190" hidden="1" x14ac:dyDescent="0.25"/>
    <row r="63191" hidden="1" x14ac:dyDescent="0.25"/>
    <row r="63192" hidden="1" x14ac:dyDescent="0.25"/>
    <row r="63193" hidden="1" x14ac:dyDescent="0.25"/>
    <row r="63194" hidden="1" x14ac:dyDescent="0.25"/>
    <row r="63195" hidden="1" x14ac:dyDescent="0.25"/>
    <row r="63196" hidden="1" x14ac:dyDescent="0.25"/>
    <row r="63197" hidden="1" x14ac:dyDescent="0.25"/>
    <row r="63198" hidden="1" x14ac:dyDescent="0.25"/>
    <row r="63199" hidden="1" x14ac:dyDescent="0.25"/>
    <row r="63200" hidden="1" x14ac:dyDescent="0.25"/>
    <row r="63201" hidden="1" x14ac:dyDescent="0.25"/>
    <row r="63202" hidden="1" x14ac:dyDescent="0.25"/>
    <row r="63203" hidden="1" x14ac:dyDescent="0.25"/>
    <row r="63204" hidden="1" x14ac:dyDescent="0.25"/>
    <row r="63205" hidden="1" x14ac:dyDescent="0.25"/>
    <row r="63206" hidden="1" x14ac:dyDescent="0.25"/>
    <row r="63207" hidden="1" x14ac:dyDescent="0.25"/>
    <row r="63208" hidden="1" x14ac:dyDescent="0.25"/>
    <row r="63209" hidden="1" x14ac:dyDescent="0.25"/>
    <row r="63210" hidden="1" x14ac:dyDescent="0.25"/>
    <row r="63211" hidden="1" x14ac:dyDescent="0.25"/>
    <row r="63212" hidden="1" x14ac:dyDescent="0.25"/>
    <row r="63213" hidden="1" x14ac:dyDescent="0.25"/>
    <row r="63214" hidden="1" x14ac:dyDescent="0.25"/>
    <row r="63215" hidden="1" x14ac:dyDescent="0.25"/>
    <row r="63216" hidden="1" x14ac:dyDescent="0.25"/>
    <row r="63217" hidden="1" x14ac:dyDescent="0.25"/>
    <row r="63218" hidden="1" x14ac:dyDescent="0.25"/>
    <row r="63219" hidden="1" x14ac:dyDescent="0.25"/>
    <row r="63220" hidden="1" x14ac:dyDescent="0.25"/>
    <row r="63221" hidden="1" x14ac:dyDescent="0.25"/>
    <row r="63222" hidden="1" x14ac:dyDescent="0.25"/>
    <row r="63223" hidden="1" x14ac:dyDescent="0.25"/>
    <row r="63224" hidden="1" x14ac:dyDescent="0.25"/>
    <row r="63225" hidden="1" x14ac:dyDescent="0.25"/>
    <row r="63226" hidden="1" x14ac:dyDescent="0.25"/>
    <row r="63227" hidden="1" x14ac:dyDescent="0.25"/>
    <row r="63228" hidden="1" x14ac:dyDescent="0.25"/>
    <row r="63229" hidden="1" x14ac:dyDescent="0.25"/>
    <row r="63230" hidden="1" x14ac:dyDescent="0.25"/>
    <row r="63231" hidden="1" x14ac:dyDescent="0.25"/>
    <row r="63232" hidden="1" x14ac:dyDescent="0.25"/>
    <row r="63233" hidden="1" x14ac:dyDescent="0.25"/>
    <row r="63234" hidden="1" x14ac:dyDescent="0.25"/>
    <row r="63235" hidden="1" x14ac:dyDescent="0.25"/>
    <row r="63236" hidden="1" x14ac:dyDescent="0.25"/>
    <row r="63237" hidden="1" x14ac:dyDescent="0.25"/>
    <row r="63238" hidden="1" x14ac:dyDescent="0.25"/>
    <row r="63239" hidden="1" x14ac:dyDescent="0.25"/>
    <row r="63240" hidden="1" x14ac:dyDescent="0.25"/>
    <row r="63241" hidden="1" x14ac:dyDescent="0.25"/>
    <row r="63242" hidden="1" x14ac:dyDescent="0.25"/>
    <row r="63243" hidden="1" x14ac:dyDescent="0.25"/>
    <row r="63244" hidden="1" x14ac:dyDescent="0.25"/>
    <row r="63245" hidden="1" x14ac:dyDescent="0.25"/>
    <row r="63246" hidden="1" x14ac:dyDescent="0.25"/>
    <row r="63247" hidden="1" x14ac:dyDescent="0.25"/>
    <row r="63248" hidden="1" x14ac:dyDescent="0.25"/>
    <row r="63249" hidden="1" x14ac:dyDescent="0.25"/>
    <row r="63250" hidden="1" x14ac:dyDescent="0.25"/>
    <row r="63251" hidden="1" x14ac:dyDescent="0.25"/>
    <row r="63252" hidden="1" x14ac:dyDescent="0.25"/>
    <row r="63253" hidden="1" x14ac:dyDescent="0.25"/>
    <row r="63254" hidden="1" x14ac:dyDescent="0.25"/>
    <row r="63255" hidden="1" x14ac:dyDescent="0.25"/>
    <row r="63256" hidden="1" x14ac:dyDescent="0.25"/>
    <row r="63257" hidden="1" x14ac:dyDescent="0.25"/>
    <row r="63258" hidden="1" x14ac:dyDescent="0.25"/>
    <row r="63259" hidden="1" x14ac:dyDescent="0.25"/>
    <row r="63260" hidden="1" x14ac:dyDescent="0.25"/>
    <row r="63261" hidden="1" x14ac:dyDescent="0.25"/>
    <row r="63262" hidden="1" x14ac:dyDescent="0.25"/>
    <row r="63263" hidden="1" x14ac:dyDescent="0.25"/>
    <row r="63264" hidden="1" x14ac:dyDescent="0.25"/>
    <row r="63265" hidden="1" x14ac:dyDescent="0.25"/>
    <row r="63266" hidden="1" x14ac:dyDescent="0.25"/>
    <row r="63267" hidden="1" x14ac:dyDescent="0.25"/>
    <row r="63268" hidden="1" x14ac:dyDescent="0.25"/>
    <row r="63269" hidden="1" x14ac:dyDescent="0.25"/>
    <row r="63270" hidden="1" x14ac:dyDescent="0.25"/>
    <row r="63271" hidden="1" x14ac:dyDescent="0.25"/>
    <row r="63272" hidden="1" x14ac:dyDescent="0.25"/>
    <row r="63273" hidden="1" x14ac:dyDescent="0.25"/>
    <row r="63274" hidden="1" x14ac:dyDescent="0.25"/>
    <row r="63275" hidden="1" x14ac:dyDescent="0.25"/>
    <row r="63276" hidden="1" x14ac:dyDescent="0.25"/>
    <row r="63277" hidden="1" x14ac:dyDescent="0.25"/>
    <row r="63278" hidden="1" x14ac:dyDescent="0.25"/>
    <row r="63279" hidden="1" x14ac:dyDescent="0.25"/>
    <row r="63280" hidden="1" x14ac:dyDescent="0.25"/>
    <row r="63281" hidden="1" x14ac:dyDescent="0.25"/>
    <row r="63282" hidden="1" x14ac:dyDescent="0.25"/>
    <row r="63283" hidden="1" x14ac:dyDescent="0.25"/>
    <row r="63284" hidden="1" x14ac:dyDescent="0.25"/>
    <row r="63285" hidden="1" x14ac:dyDescent="0.25"/>
    <row r="63286" hidden="1" x14ac:dyDescent="0.25"/>
    <row r="63287" hidden="1" x14ac:dyDescent="0.25"/>
    <row r="63288" hidden="1" x14ac:dyDescent="0.25"/>
    <row r="63289" hidden="1" x14ac:dyDescent="0.25"/>
    <row r="63290" hidden="1" x14ac:dyDescent="0.25"/>
    <row r="63291" hidden="1" x14ac:dyDescent="0.25"/>
    <row r="63292" hidden="1" x14ac:dyDescent="0.25"/>
    <row r="63293" hidden="1" x14ac:dyDescent="0.25"/>
    <row r="63294" hidden="1" x14ac:dyDescent="0.25"/>
    <row r="63295" hidden="1" x14ac:dyDescent="0.25"/>
    <row r="63296" hidden="1" x14ac:dyDescent="0.25"/>
    <row r="63297" hidden="1" x14ac:dyDescent="0.25"/>
    <row r="63298" hidden="1" x14ac:dyDescent="0.25"/>
    <row r="63299" hidden="1" x14ac:dyDescent="0.25"/>
    <row r="63300" hidden="1" x14ac:dyDescent="0.25"/>
    <row r="63301" hidden="1" x14ac:dyDescent="0.25"/>
    <row r="63302" hidden="1" x14ac:dyDescent="0.25"/>
    <row r="63303" hidden="1" x14ac:dyDescent="0.25"/>
    <row r="63304" hidden="1" x14ac:dyDescent="0.25"/>
    <row r="63305" hidden="1" x14ac:dyDescent="0.25"/>
    <row r="63306" hidden="1" x14ac:dyDescent="0.25"/>
    <row r="63307" hidden="1" x14ac:dyDescent="0.25"/>
    <row r="63308" hidden="1" x14ac:dyDescent="0.25"/>
    <row r="63309" hidden="1" x14ac:dyDescent="0.25"/>
    <row r="63310" hidden="1" x14ac:dyDescent="0.25"/>
    <row r="63311" hidden="1" x14ac:dyDescent="0.25"/>
    <row r="63312" hidden="1" x14ac:dyDescent="0.25"/>
    <row r="63313" hidden="1" x14ac:dyDescent="0.25"/>
    <row r="63314" hidden="1" x14ac:dyDescent="0.25"/>
    <row r="63315" hidden="1" x14ac:dyDescent="0.25"/>
    <row r="63316" hidden="1" x14ac:dyDescent="0.25"/>
    <row r="63317" hidden="1" x14ac:dyDescent="0.25"/>
    <row r="63318" hidden="1" x14ac:dyDescent="0.25"/>
    <row r="63319" hidden="1" x14ac:dyDescent="0.25"/>
    <row r="63320" hidden="1" x14ac:dyDescent="0.25"/>
    <row r="63321" hidden="1" x14ac:dyDescent="0.25"/>
    <row r="63322" hidden="1" x14ac:dyDescent="0.25"/>
    <row r="63323" hidden="1" x14ac:dyDescent="0.25"/>
    <row r="63324" hidden="1" x14ac:dyDescent="0.25"/>
    <row r="63325" hidden="1" x14ac:dyDescent="0.25"/>
    <row r="63326" hidden="1" x14ac:dyDescent="0.25"/>
    <row r="63327" hidden="1" x14ac:dyDescent="0.25"/>
    <row r="63328" hidden="1" x14ac:dyDescent="0.25"/>
    <row r="63329" hidden="1" x14ac:dyDescent="0.25"/>
    <row r="63330" hidden="1" x14ac:dyDescent="0.25"/>
    <row r="63331" hidden="1" x14ac:dyDescent="0.25"/>
    <row r="63332" hidden="1" x14ac:dyDescent="0.25"/>
    <row r="63333" hidden="1" x14ac:dyDescent="0.25"/>
    <row r="63334" hidden="1" x14ac:dyDescent="0.25"/>
    <row r="63335" hidden="1" x14ac:dyDescent="0.25"/>
    <row r="63336" hidden="1" x14ac:dyDescent="0.25"/>
    <row r="63337" hidden="1" x14ac:dyDescent="0.25"/>
    <row r="63338" hidden="1" x14ac:dyDescent="0.25"/>
    <row r="63339" hidden="1" x14ac:dyDescent="0.25"/>
    <row r="63340" hidden="1" x14ac:dyDescent="0.25"/>
    <row r="63341" hidden="1" x14ac:dyDescent="0.25"/>
    <row r="63342" hidden="1" x14ac:dyDescent="0.25"/>
    <row r="63343" hidden="1" x14ac:dyDescent="0.25"/>
    <row r="63344" hidden="1" x14ac:dyDescent="0.25"/>
    <row r="63345" hidden="1" x14ac:dyDescent="0.25"/>
    <row r="63346" hidden="1" x14ac:dyDescent="0.25"/>
    <row r="63347" hidden="1" x14ac:dyDescent="0.25"/>
    <row r="63348" hidden="1" x14ac:dyDescent="0.25"/>
    <row r="63349" hidden="1" x14ac:dyDescent="0.25"/>
    <row r="63350" hidden="1" x14ac:dyDescent="0.25"/>
    <row r="63351" hidden="1" x14ac:dyDescent="0.25"/>
    <row r="63352" hidden="1" x14ac:dyDescent="0.25"/>
    <row r="63353" hidden="1" x14ac:dyDescent="0.25"/>
    <row r="63354" hidden="1" x14ac:dyDescent="0.25"/>
    <row r="63355" hidden="1" x14ac:dyDescent="0.25"/>
    <row r="63356" hidden="1" x14ac:dyDescent="0.25"/>
    <row r="63357" hidden="1" x14ac:dyDescent="0.25"/>
    <row r="63358" hidden="1" x14ac:dyDescent="0.25"/>
    <row r="63359" hidden="1" x14ac:dyDescent="0.25"/>
    <row r="63360" hidden="1" x14ac:dyDescent="0.25"/>
    <row r="63361" hidden="1" x14ac:dyDescent="0.25"/>
    <row r="63362" hidden="1" x14ac:dyDescent="0.25"/>
    <row r="63363" hidden="1" x14ac:dyDescent="0.25"/>
    <row r="63364" hidden="1" x14ac:dyDescent="0.25"/>
    <row r="63365" hidden="1" x14ac:dyDescent="0.25"/>
    <row r="63366" hidden="1" x14ac:dyDescent="0.25"/>
    <row r="63367" hidden="1" x14ac:dyDescent="0.25"/>
    <row r="63368" hidden="1" x14ac:dyDescent="0.25"/>
    <row r="63369" hidden="1" x14ac:dyDescent="0.25"/>
    <row r="63370" hidden="1" x14ac:dyDescent="0.25"/>
    <row r="63371" hidden="1" x14ac:dyDescent="0.25"/>
    <row r="63372" hidden="1" x14ac:dyDescent="0.25"/>
    <row r="63373" hidden="1" x14ac:dyDescent="0.25"/>
    <row r="63374" hidden="1" x14ac:dyDescent="0.25"/>
    <row r="63375" hidden="1" x14ac:dyDescent="0.25"/>
    <row r="63376" hidden="1" x14ac:dyDescent="0.25"/>
    <row r="63377" hidden="1" x14ac:dyDescent="0.25"/>
    <row r="63378" hidden="1" x14ac:dyDescent="0.25"/>
    <row r="63379" hidden="1" x14ac:dyDescent="0.25"/>
    <row r="63380" hidden="1" x14ac:dyDescent="0.25"/>
    <row r="63381" hidden="1" x14ac:dyDescent="0.25"/>
    <row r="63382" hidden="1" x14ac:dyDescent="0.25"/>
    <row r="63383" hidden="1" x14ac:dyDescent="0.25"/>
    <row r="63384" hidden="1" x14ac:dyDescent="0.25"/>
    <row r="63385" hidden="1" x14ac:dyDescent="0.25"/>
    <row r="63386" hidden="1" x14ac:dyDescent="0.25"/>
    <row r="63387" hidden="1" x14ac:dyDescent="0.25"/>
    <row r="63388" hidden="1" x14ac:dyDescent="0.25"/>
    <row r="63389" hidden="1" x14ac:dyDescent="0.25"/>
    <row r="63390" hidden="1" x14ac:dyDescent="0.25"/>
    <row r="63391" hidden="1" x14ac:dyDescent="0.25"/>
    <row r="63392" hidden="1" x14ac:dyDescent="0.25"/>
    <row r="63393" hidden="1" x14ac:dyDescent="0.25"/>
    <row r="63394" hidden="1" x14ac:dyDescent="0.25"/>
    <row r="63395" hidden="1" x14ac:dyDescent="0.25"/>
    <row r="63396" hidden="1" x14ac:dyDescent="0.25"/>
    <row r="63397" hidden="1" x14ac:dyDescent="0.25"/>
    <row r="63398" hidden="1" x14ac:dyDescent="0.25"/>
    <row r="63399" hidden="1" x14ac:dyDescent="0.25"/>
    <row r="63400" hidden="1" x14ac:dyDescent="0.25"/>
    <row r="63401" hidden="1" x14ac:dyDescent="0.25"/>
    <row r="63402" hidden="1" x14ac:dyDescent="0.25"/>
    <row r="63403" hidden="1" x14ac:dyDescent="0.25"/>
    <row r="63404" hidden="1" x14ac:dyDescent="0.25"/>
    <row r="63405" hidden="1" x14ac:dyDescent="0.25"/>
    <row r="63406" hidden="1" x14ac:dyDescent="0.25"/>
    <row r="63407" hidden="1" x14ac:dyDescent="0.25"/>
    <row r="63408" hidden="1" x14ac:dyDescent="0.25"/>
    <row r="63409" hidden="1" x14ac:dyDescent="0.25"/>
    <row r="63410" hidden="1" x14ac:dyDescent="0.25"/>
    <row r="63411" hidden="1" x14ac:dyDescent="0.25"/>
    <row r="63412" hidden="1" x14ac:dyDescent="0.25"/>
    <row r="63413" hidden="1" x14ac:dyDescent="0.25"/>
    <row r="63414" hidden="1" x14ac:dyDescent="0.25"/>
    <row r="63415" hidden="1" x14ac:dyDescent="0.25"/>
    <row r="63416" hidden="1" x14ac:dyDescent="0.25"/>
    <row r="63417" hidden="1" x14ac:dyDescent="0.25"/>
    <row r="63418" hidden="1" x14ac:dyDescent="0.25"/>
    <row r="63419" hidden="1" x14ac:dyDescent="0.25"/>
    <row r="63420" hidden="1" x14ac:dyDescent="0.25"/>
    <row r="63421" hidden="1" x14ac:dyDescent="0.25"/>
    <row r="63422" hidden="1" x14ac:dyDescent="0.25"/>
    <row r="63423" hidden="1" x14ac:dyDescent="0.25"/>
    <row r="63424" hidden="1" x14ac:dyDescent="0.25"/>
    <row r="63425" hidden="1" x14ac:dyDescent="0.25"/>
    <row r="63426" hidden="1" x14ac:dyDescent="0.25"/>
    <row r="63427" hidden="1" x14ac:dyDescent="0.25"/>
    <row r="63428" hidden="1" x14ac:dyDescent="0.25"/>
    <row r="63429" hidden="1" x14ac:dyDescent="0.25"/>
    <row r="63430" hidden="1" x14ac:dyDescent="0.25"/>
    <row r="63431" hidden="1" x14ac:dyDescent="0.25"/>
    <row r="63432" hidden="1" x14ac:dyDescent="0.25"/>
    <row r="63433" hidden="1" x14ac:dyDescent="0.25"/>
    <row r="63434" hidden="1" x14ac:dyDescent="0.25"/>
    <row r="63435" hidden="1" x14ac:dyDescent="0.25"/>
    <row r="63436" hidden="1" x14ac:dyDescent="0.25"/>
    <row r="63437" hidden="1" x14ac:dyDescent="0.25"/>
    <row r="63438" hidden="1" x14ac:dyDescent="0.25"/>
    <row r="63439" hidden="1" x14ac:dyDescent="0.25"/>
    <row r="63440" hidden="1" x14ac:dyDescent="0.25"/>
    <row r="63441" hidden="1" x14ac:dyDescent="0.25"/>
    <row r="63442" hidden="1" x14ac:dyDescent="0.25"/>
    <row r="63443" hidden="1" x14ac:dyDescent="0.25"/>
    <row r="63444" hidden="1" x14ac:dyDescent="0.25"/>
    <row r="63445" hidden="1" x14ac:dyDescent="0.25"/>
    <row r="63446" hidden="1" x14ac:dyDescent="0.25"/>
    <row r="63447" hidden="1" x14ac:dyDescent="0.25"/>
    <row r="63448" hidden="1" x14ac:dyDescent="0.25"/>
    <row r="63449" hidden="1" x14ac:dyDescent="0.25"/>
    <row r="63450" hidden="1" x14ac:dyDescent="0.25"/>
    <row r="63451" hidden="1" x14ac:dyDescent="0.25"/>
    <row r="63452" hidden="1" x14ac:dyDescent="0.25"/>
    <row r="63453" hidden="1" x14ac:dyDescent="0.25"/>
    <row r="63454" hidden="1" x14ac:dyDescent="0.25"/>
    <row r="63455" hidden="1" x14ac:dyDescent="0.25"/>
    <row r="63456" hidden="1" x14ac:dyDescent="0.25"/>
    <row r="63457" hidden="1" x14ac:dyDescent="0.25"/>
    <row r="63458" hidden="1" x14ac:dyDescent="0.25"/>
    <row r="63459" hidden="1" x14ac:dyDescent="0.25"/>
    <row r="63460" hidden="1" x14ac:dyDescent="0.25"/>
    <row r="63461" hidden="1" x14ac:dyDescent="0.25"/>
    <row r="63462" hidden="1" x14ac:dyDescent="0.25"/>
    <row r="63463" hidden="1" x14ac:dyDescent="0.25"/>
    <row r="63464" hidden="1" x14ac:dyDescent="0.25"/>
    <row r="63465" hidden="1" x14ac:dyDescent="0.25"/>
    <row r="63466" hidden="1" x14ac:dyDescent="0.25"/>
    <row r="63467" hidden="1" x14ac:dyDescent="0.25"/>
    <row r="63468" hidden="1" x14ac:dyDescent="0.25"/>
    <row r="63469" hidden="1" x14ac:dyDescent="0.25"/>
    <row r="63470" hidden="1" x14ac:dyDescent="0.25"/>
    <row r="63471" hidden="1" x14ac:dyDescent="0.25"/>
    <row r="63472" hidden="1" x14ac:dyDescent="0.25"/>
    <row r="63473" hidden="1" x14ac:dyDescent="0.25"/>
    <row r="63474" hidden="1" x14ac:dyDescent="0.25"/>
    <row r="63475" hidden="1" x14ac:dyDescent="0.25"/>
    <row r="63476" hidden="1" x14ac:dyDescent="0.25"/>
    <row r="63477" hidden="1" x14ac:dyDescent="0.25"/>
    <row r="63478" hidden="1" x14ac:dyDescent="0.25"/>
    <row r="63479" hidden="1" x14ac:dyDescent="0.25"/>
    <row r="63480" hidden="1" x14ac:dyDescent="0.25"/>
    <row r="63481" hidden="1" x14ac:dyDescent="0.25"/>
    <row r="63482" hidden="1" x14ac:dyDescent="0.25"/>
    <row r="63483" hidden="1" x14ac:dyDescent="0.25"/>
    <row r="63484" hidden="1" x14ac:dyDescent="0.25"/>
    <row r="63485" hidden="1" x14ac:dyDescent="0.25"/>
    <row r="63486" hidden="1" x14ac:dyDescent="0.25"/>
    <row r="63487" hidden="1" x14ac:dyDescent="0.25"/>
    <row r="63488" hidden="1" x14ac:dyDescent="0.25"/>
    <row r="63489" hidden="1" x14ac:dyDescent="0.25"/>
    <row r="63490" hidden="1" x14ac:dyDescent="0.25"/>
    <row r="63491" hidden="1" x14ac:dyDescent="0.25"/>
    <row r="63492" hidden="1" x14ac:dyDescent="0.25"/>
    <row r="63493" hidden="1" x14ac:dyDescent="0.25"/>
    <row r="63494" hidden="1" x14ac:dyDescent="0.25"/>
    <row r="63495" hidden="1" x14ac:dyDescent="0.25"/>
    <row r="63496" hidden="1" x14ac:dyDescent="0.25"/>
    <row r="63497" hidden="1" x14ac:dyDescent="0.25"/>
    <row r="63498" hidden="1" x14ac:dyDescent="0.25"/>
    <row r="63499" hidden="1" x14ac:dyDescent="0.25"/>
    <row r="63500" hidden="1" x14ac:dyDescent="0.25"/>
    <row r="63501" hidden="1" x14ac:dyDescent="0.25"/>
    <row r="63502" hidden="1" x14ac:dyDescent="0.25"/>
    <row r="63503" hidden="1" x14ac:dyDescent="0.25"/>
    <row r="63504" hidden="1" x14ac:dyDescent="0.25"/>
    <row r="63505" hidden="1" x14ac:dyDescent="0.25"/>
    <row r="63506" hidden="1" x14ac:dyDescent="0.25"/>
    <row r="63507" hidden="1" x14ac:dyDescent="0.25"/>
    <row r="63508" hidden="1" x14ac:dyDescent="0.25"/>
    <row r="63509" hidden="1" x14ac:dyDescent="0.25"/>
    <row r="63510" hidden="1" x14ac:dyDescent="0.25"/>
    <row r="63511" hidden="1" x14ac:dyDescent="0.25"/>
    <row r="63512" hidden="1" x14ac:dyDescent="0.25"/>
    <row r="63513" hidden="1" x14ac:dyDescent="0.25"/>
    <row r="63514" hidden="1" x14ac:dyDescent="0.25"/>
    <row r="63515" hidden="1" x14ac:dyDescent="0.25"/>
    <row r="63516" hidden="1" x14ac:dyDescent="0.25"/>
    <row r="63517" hidden="1" x14ac:dyDescent="0.25"/>
    <row r="63518" hidden="1" x14ac:dyDescent="0.25"/>
    <row r="63519" hidden="1" x14ac:dyDescent="0.25"/>
    <row r="63520" hidden="1" x14ac:dyDescent="0.25"/>
    <row r="63521" hidden="1" x14ac:dyDescent="0.25"/>
    <row r="63522" hidden="1" x14ac:dyDescent="0.25"/>
    <row r="63523" hidden="1" x14ac:dyDescent="0.25"/>
    <row r="63524" hidden="1" x14ac:dyDescent="0.25"/>
    <row r="63525" hidden="1" x14ac:dyDescent="0.25"/>
    <row r="63526" hidden="1" x14ac:dyDescent="0.25"/>
    <row r="63527" hidden="1" x14ac:dyDescent="0.25"/>
    <row r="63528" hidden="1" x14ac:dyDescent="0.25"/>
    <row r="63529" hidden="1" x14ac:dyDescent="0.25"/>
    <row r="63530" hidden="1" x14ac:dyDescent="0.25"/>
    <row r="63531" hidden="1" x14ac:dyDescent="0.25"/>
    <row r="63532" hidden="1" x14ac:dyDescent="0.25"/>
    <row r="63533" hidden="1" x14ac:dyDescent="0.25"/>
    <row r="63534" hidden="1" x14ac:dyDescent="0.25"/>
    <row r="63535" hidden="1" x14ac:dyDescent="0.25"/>
    <row r="63536" hidden="1" x14ac:dyDescent="0.25"/>
    <row r="63537" hidden="1" x14ac:dyDescent="0.25"/>
    <row r="63538" hidden="1" x14ac:dyDescent="0.25"/>
    <row r="63539" hidden="1" x14ac:dyDescent="0.25"/>
    <row r="63540" hidden="1" x14ac:dyDescent="0.25"/>
    <row r="63541" hidden="1" x14ac:dyDescent="0.25"/>
    <row r="63542" hidden="1" x14ac:dyDescent="0.25"/>
    <row r="63543" hidden="1" x14ac:dyDescent="0.25"/>
    <row r="63544" hidden="1" x14ac:dyDescent="0.25"/>
    <row r="63545" hidden="1" x14ac:dyDescent="0.25"/>
    <row r="63546" hidden="1" x14ac:dyDescent="0.25"/>
    <row r="63547" hidden="1" x14ac:dyDescent="0.25"/>
    <row r="63548" hidden="1" x14ac:dyDescent="0.25"/>
    <row r="63549" hidden="1" x14ac:dyDescent="0.25"/>
    <row r="63550" hidden="1" x14ac:dyDescent="0.25"/>
    <row r="63551" hidden="1" x14ac:dyDescent="0.25"/>
    <row r="63552" hidden="1" x14ac:dyDescent="0.25"/>
    <row r="63553" hidden="1" x14ac:dyDescent="0.25"/>
    <row r="63554" hidden="1" x14ac:dyDescent="0.25"/>
    <row r="63555" hidden="1" x14ac:dyDescent="0.25"/>
    <row r="63556" hidden="1" x14ac:dyDescent="0.25"/>
    <row r="63557" hidden="1" x14ac:dyDescent="0.25"/>
    <row r="63558" hidden="1" x14ac:dyDescent="0.25"/>
    <row r="63559" hidden="1" x14ac:dyDescent="0.25"/>
    <row r="63560" hidden="1" x14ac:dyDescent="0.25"/>
    <row r="63561" hidden="1" x14ac:dyDescent="0.25"/>
    <row r="63562" hidden="1" x14ac:dyDescent="0.25"/>
    <row r="63563" hidden="1" x14ac:dyDescent="0.25"/>
    <row r="63564" hidden="1" x14ac:dyDescent="0.25"/>
    <row r="63565" hidden="1" x14ac:dyDescent="0.25"/>
    <row r="63566" hidden="1" x14ac:dyDescent="0.25"/>
    <row r="63567" hidden="1" x14ac:dyDescent="0.25"/>
    <row r="63568" hidden="1" x14ac:dyDescent="0.25"/>
    <row r="63569" hidden="1" x14ac:dyDescent="0.25"/>
    <row r="63570" hidden="1" x14ac:dyDescent="0.25"/>
    <row r="63571" hidden="1" x14ac:dyDescent="0.25"/>
    <row r="63572" hidden="1" x14ac:dyDescent="0.25"/>
    <row r="63573" hidden="1" x14ac:dyDescent="0.25"/>
    <row r="63574" hidden="1" x14ac:dyDescent="0.25"/>
    <row r="63575" hidden="1" x14ac:dyDescent="0.25"/>
    <row r="63576" hidden="1" x14ac:dyDescent="0.25"/>
    <row r="63577" hidden="1" x14ac:dyDescent="0.25"/>
    <row r="63578" hidden="1" x14ac:dyDescent="0.25"/>
    <row r="63579" hidden="1" x14ac:dyDescent="0.25"/>
    <row r="63580" hidden="1" x14ac:dyDescent="0.25"/>
    <row r="63581" hidden="1" x14ac:dyDescent="0.25"/>
    <row r="63582" hidden="1" x14ac:dyDescent="0.25"/>
    <row r="63583" hidden="1" x14ac:dyDescent="0.25"/>
    <row r="63584" hidden="1" x14ac:dyDescent="0.25"/>
    <row r="63585" hidden="1" x14ac:dyDescent="0.25"/>
    <row r="63586" hidden="1" x14ac:dyDescent="0.25"/>
    <row r="63587" hidden="1" x14ac:dyDescent="0.25"/>
    <row r="63588" hidden="1" x14ac:dyDescent="0.25"/>
    <row r="63589" hidden="1" x14ac:dyDescent="0.25"/>
    <row r="63590" hidden="1" x14ac:dyDescent="0.25"/>
    <row r="63591" hidden="1" x14ac:dyDescent="0.25"/>
    <row r="63592" hidden="1" x14ac:dyDescent="0.25"/>
    <row r="63593" hidden="1" x14ac:dyDescent="0.25"/>
    <row r="63594" hidden="1" x14ac:dyDescent="0.25"/>
    <row r="63595" hidden="1" x14ac:dyDescent="0.25"/>
    <row r="63596" hidden="1" x14ac:dyDescent="0.25"/>
    <row r="63597" hidden="1" x14ac:dyDescent="0.25"/>
    <row r="63598" hidden="1" x14ac:dyDescent="0.25"/>
    <row r="63599" hidden="1" x14ac:dyDescent="0.25"/>
    <row r="63600" hidden="1" x14ac:dyDescent="0.25"/>
    <row r="63601" hidden="1" x14ac:dyDescent="0.25"/>
    <row r="63602" hidden="1" x14ac:dyDescent="0.25"/>
    <row r="63603" hidden="1" x14ac:dyDescent="0.25"/>
    <row r="63604" hidden="1" x14ac:dyDescent="0.25"/>
    <row r="63605" hidden="1" x14ac:dyDescent="0.25"/>
    <row r="63606" hidden="1" x14ac:dyDescent="0.25"/>
    <row r="63607" hidden="1" x14ac:dyDescent="0.25"/>
    <row r="63608" hidden="1" x14ac:dyDescent="0.25"/>
    <row r="63609" hidden="1" x14ac:dyDescent="0.25"/>
    <row r="63610" hidden="1" x14ac:dyDescent="0.25"/>
    <row r="63611" hidden="1" x14ac:dyDescent="0.25"/>
    <row r="63612" hidden="1" x14ac:dyDescent="0.25"/>
    <row r="63613" hidden="1" x14ac:dyDescent="0.25"/>
    <row r="63614" hidden="1" x14ac:dyDescent="0.25"/>
    <row r="63615" hidden="1" x14ac:dyDescent="0.25"/>
    <row r="63616" hidden="1" x14ac:dyDescent="0.25"/>
    <row r="63617" hidden="1" x14ac:dyDescent="0.25"/>
    <row r="63618" hidden="1" x14ac:dyDescent="0.25"/>
    <row r="63619" hidden="1" x14ac:dyDescent="0.25"/>
    <row r="63620" hidden="1" x14ac:dyDescent="0.25"/>
    <row r="63621" hidden="1" x14ac:dyDescent="0.25"/>
    <row r="63622" hidden="1" x14ac:dyDescent="0.25"/>
    <row r="63623" hidden="1" x14ac:dyDescent="0.25"/>
    <row r="63624" hidden="1" x14ac:dyDescent="0.25"/>
    <row r="63625" hidden="1" x14ac:dyDescent="0.25"/>
    <row r="63626" hidden="1" x14ac:dyDescent="0.25"/>
    <row r="63627" hidden="1" x14ac:dyDescent="0.25"/>
    <row r="63628" hidden="1" x14ac:dyDescent="0.25"/>
    <row r="63629" hidden="1" x14ac:dyDescent="0.25"/>
    <row r="63630" hidden="1" x14ac:dyDescent="0.25"/>
    <row r="63631" hidden="1" x14ac:dyDescent="0.25"/>
    <row r="63632" hidden="1" x14ac:dyDescent="0.25"/>
    <row r="63633" hidden="1" x14ac:dyDescent="0.25"/>
    <row r="63634" hidden="1" x14ac:dyDescent="0.25"/>
    <row r="63635" hidden="1" x14ac:dyDescent="0.25"/>
    <row r="63636" hidden="1" x14ac:dyDescent="0.25"/>
    <row r="63637" hidden="1" x14ac:dyDescent="0.25"/>
    <row r="63638" hidden="1" x14ac:dyDescent="0.25"/>
    <row r="63639" hidden="1" x14ac:dyDescent="0.25"/>
    <row r="63640" hidden="1" x14ac:dyDescent="0.25"/>
    <row r="63641" hidden="1" x14ac:dyDescent="0.25"/>
    <row r="63642" hidden="1" x14ac:dyDescent="0.25"/>
    <row r="63643" hidden="1" x14ac:dyDescent="0.25"/>
    <row r="63644" hidden="1" x14ac:dyDescent="0.25"/>
    <row r="63645" hidden="1" x14ac:dyDescent="0.25"/>
    <row r="63646" hidden="1" x14ac:dyDescent="0.25"/>
    <row r="63647" hidden="1" x14ac:dyDescent="0.25"/>
    <row r="63648" hidden="1" x14ac:dyDescent="0.25"/>
    <row r="63649" hidden="1" x14ac:dyDescent="0.25"/>
    <row r="63650" hidden="1" x14ac:dyDescent="0.25"/>
    <row r="63651" hidden="1" x14ac:dyDescent="0.25"/>
    <row r="63652" hidden="1" x14ac:dyDescent="0.25"/>
    <row r="63653" hidden="1" x14ac:dyDescent="0.25"/>
    <row r="63654" hidden="1" x14ac:dyDescent="0.25"/>
    <row r="63655" hidden="1" x14ac:dyDescent="0.25"/>
    <row r="63656" hidden="1" x14ac:dyDescent="0.25"/>
    <row r="63657" hidden="1" x14ac:dyDescent="0.25"/>
    <row r="63658" hidden="1" x14ac:dyDescent="0.25"/>
    <row r="63659" hidden="1" x14ac:dyDescent="0.25"/>
    <row r="63660" hidden="1" x14ac:dyDescent="0.25"/>
    <row r="63661" hidden="1" x14ac:dyDescent="0.25"/>
    <row r="63662" hidden="1" x14ac:dyDescent="0.25"/>
    <row r="63663" hidden="1" x14ac:dyDescent="0.25"/>
    <row r="63664" hidden="1" x14ac:dyDescent="0.25"/>
    <row r="63665" hidden="1" x14ac:dyDescent="0.25"/>
    <row r="63666" hidden="1" x14ac:dyDescent="0.25"/>
    <row r="63667" hidden="1" x14ac:dyDescent="0.25"/>
    <row r="63668" hidden="1" x14ac:dyDescent="0.25"/>
    <row r="63669" hidden="1" x14ac:dyDescent="0.25"/>
    <row r="63670" hidden="1" x14ac:dyDescent="0.25"/>
    <row r="63671" hidden="1" x14ac:dyDescent="0.25"/>
    <row r="63672" hidden="1" x14ac:dyDescent="0.25"/>
    <row r="63673" hidden="1" x14ac:dyDescent="0.25"/>
    <row r="63674" hidden="1" x14ac:dyDescent="0.25"/>
    <row r="63675" hidden="1" x14ac:dyDescent="0.25"/>
    <row r="63676" hidden="1" x14ac:dyDescent="0.25"/>
    <row r="63677" hidden="1" x14ac:dyDescent="0.25"/>
    <row r="63678" hidden="1" x14ac:dyDescent="0.25"/>
    <row r="63679" hidden="1" x14ac:dyDescent="0.25"/>
    <row r="63680" hidden="1" x14ac:dyDescent="0.25"/>
    <row r="63681" hidden="1" x14ac:dyDescent="0.25"/>
    <row r="63682" hidden="1" x14ac:dyDescent="0.25"/>
    <row r="63683" hidden="1" x14ac:dyDescent="0.25"/>
    <row r="63684" hidden="1" x14ac:dyDescent="0.25"/>
    <row r="63685" hidden="1" x14ac:dyDescent="0.25"/>
    <row r="63686" hidden="1" x14ac:dyDescent="0.25"/>
    <row r="63687" hidden="1" x14ac:dyDescent="0.25"/>
    <row r="63688" hidden="1" x14ac:dyDescent="0.25"/>
    <row r="63689" hidden="1" x14ac:dyDescent="0.25"/>
    <row r="63690" hidden="1" x14ac:dyDescent="0.25"/>
    <row r="63691" hidden="1" x14ac:dyDescent="0.25"/>
    <row r="63692" hidden="1" x14ac:dyDescent="0.25"/>
    <row r="63693" hidden="1" x14ac:dyDescent="0.25"/>
    <row r="63694" hidden="1" x14ac:dyDescent="0.25"/>
    <row r="63695" hidden="1" x14ac:dyDescent="0.25"/>
    <row r="63696" hidden="1" x14ac:dyDescent="0.25"/>
    <row r="63697" hidden="1" x14ac:dyDescent="0.25"/>
    <row r="63698" hidden="1" x14ac:dyDescent="0.25"/>
    <row r="63699" hidden="1" x14ac:dyDescent="0.25"/>
    <row r="63700" hidden="1" x14ac:dyDescent="0.25"/>
    <row r="63701" hidden="1" x14ac:dyDescent="0.25"/>
    <row r="63702" hidden="1" x14ac:dyDescent="0.25"/>
    <row r="63703" hidden="1" x14ac:dyDescent="0.25"/>
    <row r="63704" hidden="1" x14ac:dyDescent="0.25"/>
    <row r="63705" hidden="1" x14ac:dyDescent="0.25"/>
    <row r="63706" hidden="1" x14ac:dyDescent="0.25"/>
    <row r="63707" hidden="1" x14ac:dyDescent="0.25"/>
    <row r="63708" hidden="1" x14ac:dyDescent="0.25"/>
    <row r="63709" hidden="1" x14ac:dyDescent="0.25"/>
    <row r="63710" hidden="1" x14ac:dyDescent="0.25"/>
    <row r="63711" hidden="1" x14ac:dyDescent="0.25"/>
    <row r="63712" hidden="1" x14ac:dyDescent="0.25"/>
    <row r="63713" hidden="1" x14ac:dyDescent="0.25"/>
    <row r="63714" hidden="1" x14ac:dyDescent="0.25"/>
    <row r="63715" hidden="1" x14ac:dyDescent="0.25"/>
    <row r="63716" hidden="1" x14ac:dyDescent="0.25"/>
    <row r="63717" hidden="1" x14ac:dyDescent="0.25"/>
    <row r="63718" hidden="1" x14ac:dyDescent="0.25"/>
    <row r="63719" hidden="1" x14ac:dyDescent="0.25"/>
    <row r="63720" hidden="1" x14ac:dyDescent="0.25"/>
    <row r="63721" hidden="1" x14ac:dyDescent="0.25"/>
    <row r="63722" hidden="1" x14ac:dyDescent="0.25"/>
    <row r="63723" hidden="1" x14ac:dyDescent="0.25"/>
    <row r="63724" hidden="1" x14ac:dyDescent="0.25"/>
    <row r="63725" hidden="1" x14ac:dyDescent="0.25"/>
    <row r="63726" hidden="1" x14ac:dyDescent="0.25"/>
    <row r="63727" hidden="1" x14ac:dyDescent="0.25"/>
    <row r="63728" hidden="1" x14ac:dyDescent="0.25"/>
    <row r="63729" hidden="1" x14ac:dyDescent="0.25"/>
    <row r="63730" hidden="1" x14ac:dyDescent="0.25"/>
    <row r="63731" hidden="1" x14ac:dyDescent="0.25"/>
    <row r="63732" hidden="1" x14ac:dyDescent="0.25"/>
    <row r="63733" hidden="1" x14ac:dyDescent="0.25"/>
    <row r="63734" hidden="1" x14ac:dyDescent="0.25"/>
    <row r="63735" hidden="1" x14ac:dyDescent="0.25"/>
    <row r="63736" hidden="1" x14ac:dyDescent="0.25"/>
    <row r="63737" hidden="1" x14ac:dyDescent="0.25"/>
    <row r="63738" hidden="1" x14ac:dyDescent="0.25"/>
    <row r="63739" hidden="1" x14ac:dyDescent="0.25"/>
    <row r="63740" hidden="1" x14ac:dyDescent="0.25"/>
    <row r="63741" hidden="1" x14ac:dyDescent="0.25"/>
    <row r="63742" hidden="1" x14ac:dyDescent="0.25"/>
    <row r="63743" hidden="1" x14ac:dyDescent="0.25"/>
    <row r="63744" hidden="1" x14ac:dyDescent="0.25"/>
    <row r="63745" hidden="1" x14ac:dyDescent="0.25"/>
    <row r="63746" hidden="1" x14ac:dyDescent="0.25"/>
    <row r="63747" hidden="1" x14ac:dyDescent="0.25"/>
    <row r="63748" hidden="1" x14ac:dyDescent="0.25"/>
    <row r="63749" hidden="1" x14ac:dyDescent="0.25"/>
    <row r="63750" hidden="1" x14ac:dyDescent="0.25"/>
    <row r="63751" hidden="1" x14ac:dyDescent="0.25"/>
    <row r="63752" hidden="1" x14ac:dyDescent="0.25"/>
    <row r="63753" hidden="1" x14ac:dyDescent="0.25"/>
    <row r="63754" hidden="1" x14ac:dyDescent="0.25"/>
    <row r="63755" hidden="1" x14ac:dyDescent="0.25"/>
    <row r="63756" hidden="1" x14ac:dyDescent="0.25"/>
    <row r="63757" hidden="1" x14ac:dyDescent="0.25"/>
    <row r="63758" hidden="1" x14ac:dyDescent="0.25"/>
    <row r="63759" hidden="1" x14ac:dyDescent="0.25"/>
    <row r="63760" hidden="1" x14ac:dyDescent="0.25"/>
    <row r="63761" hidden="1" x14ac:dyDescent="0.25"/>
    <row r="63762" hidden="1" x14ac:dyDescent="0.25"/>
    <row r="63763" hidden="1" x14ac:dyDescent="0.25"/>
    <row r="63764" hidden="1" x14ac:dyDescent="0.25"/>
    <row r="63765" hidden="1" x14ac:dyDescent="0.25"/>
    <row r="63766" hidden="1" x14ac:dyDescent="0.25"/>
    <row r="63767" hidden="1" x14ac:dyDescent="0.25"/>
    <row r="63768" hidden="1" x14ac:dyDescent="0.25"/>
    <row r="63769" hidden="1" x14ac:dyDescent="0.25"/>
    <row r="63770" hidden="1" x14ac:dyDescent="0.25"/>
    <row r="63771" hidden="1" x14ac:dyDescent="0.25"/>
    <row r="63772" hidden="1" x14ac:dyDescent="0.25"/>
    <row r="63773" hidden="1" x14ac:dyDescent="0.25"/>
    <row r="63774" hidden="1" x14ac:dyDescent="0.25"/>
    <row r="63775" hidden="1" x14ac:dyDescent="0.25"/>
    <row r="63776" hidden="1" x14ac:dyDescent="0.25"/>
    <row r="63777" hidden="1" x14ac:dyDescent="0.25"/>
    <row r="63778" hidden="1" x14ac:dyDescent="0.25"/>
    <row r="63779" hidden="1" x14ac:dyDescent="0.25"/>
    <row r="63780" hidden="1" x14ac:dyDescent="0.25"/>
    <row r="63781" hidden="1" x14ac:dyDescent="0.25"/>
    <row r="63782" hidden="1" x14ac:dyDescent="0.25"/>
    <row r="63783" hidden="1" x14ac:dyDescent="0.25"/>
    <row r="63784" hidden="1" x14ac:dyDescent="0.25"/>
    <row r="63785" hidden="1" x14ac:dyDescent="0.25"/>
    <row r="63786" hidden="1" x14ac:dyDescent="0.25"/>
    <row r="63787" hidden="1" x14ac:dyDescent="0.25"/>
    <row r="63788" hidden="1" x14ac:dyDescent="0.25"/>
    <row r="63789" hidden="1" x14ac:dyDescent="0.25"/>
    <row r="63790" hidden="1" x14ac:dyDescent="0.25"/>
    <row r="63791" hidden="1" x14ac:dyDescent="0.25"/>
    <row r="63792" hidden="1" x14ac:dyDescent="0.25"/>
    <row r="63793" hidden="1" x14ac:dyDescent="0.25"/>
    <row r="63794" hidden="1" x14ac:dyDescent="0.25"/>
    <row r="63795" hidden="1" x14ac:dyDescent="0.25"/>
    <row r="63796" hidden="1" x14ac:dyDescent="0.25"/>
    <row r="63797" hidden="1" x14ac:dyDescent="0.25"/>
    <row r="63798" hidden="1" x14ac:dyDescent="0.25"/>
    <row r="63799" hidden="1" x14ac:dyDescent="0.25"/>
    <row r="63800" hidden="1" x14ac:dyDescent="0.25"/>
    <row r="63801" hidden="1" x14ac:dyDescent="0.25"/>
    <row r="63802" hidden="1" x14ac:dyDescent="0.25"/>
    <row r="63803" hidden="1" x14ac:dyDescent="0.25"/>
    <row r="63804" hidden="1" x14ac:dyDescent="0.25"/>
    <row r="63805" hidden="1" x14ac:dyDescent="0.25"/>
    <row r="63806" hidden="1" x14ac:dyDescent="0.25"/>
    <row r="63807" hidden="1" x14ac:dyDescent="0.25"/>
    <row r="63808" hidden="1" x14ac:dyDescent="0.25"/>
    <row r="63809" hidden="1" x14ac:dyDescent="0.25"/>
    <row r="63810" hidden="1" x14ac:dyDescent="0.25"/>
    <row r="63811" hidden="1" x14ac:dyDescent="0.25"/>
    <row r="63812" hidden="1" x14ac:dyDescent="0.25"/>
    <row r="63813" hidden="1" x14ac:dyDescent="0.25"/>
    <row r="63814" hidden="1" x14ac:dyDescent="0.25"/>
    <row r="63815" hidden="1" x14ac:dyDescent="0.25"/>
    <row r="63816" hidden="1" x14ac:dyDescent="0.25"/>
    <row r="63817" hidden="1" x14ac:dyDescent="0.25"/>
    <row r="63818" hidden="1" x14ac:dyDescent="0.25"/>
    <row r="63819" hidden="1" x14ac:dyDescent="0.25"/>
    <row r="63820" hidden="1" x14ac:dyDescent="0.25"/>
    <row r="63821" hidden="1" x14ac:dyDescent="0.25"/>
    <row r="63822" hidden="1" x14ac:dyDescent="0.25"/>
    <row r="63823" hidden="1" x14ac:dyDescent="0.25"/>
    <row r="63824" hidden="1" x14ac:dyDescent="0.25"/>
    <row r="63825" hidden="1" x14ac:dyDescent="0.25"/>
    <row r="63826" hidden="1" x14ac:dyDescent="0.25"/>
    <row r="63827" hidden="1" x14ac:dyDescent="0.25"/>
    <row r="63828" hidden="1" x14ac:dyDescent="0.25"/>
    <row r="63829" hidden="1" x14ac:dyDescent="0.25"/>
    <row r="63830" hidden="1" x14ac:dyDescent="0.25"/>
    <row r="63831" hidden="1" x14ac:dyDescent="0.25"/>
    <row r="63832" hidden="1" x14ac:dyDescent="0.25"/>
    <row r="63833" hidden="1" x14ac:dyDescent="0.25"/>
    <row r="63834" hidden="1" x14ac:dyDescent="0.25"/>
    <row r="63835" hidden="1" x14ac:dyDescent="0.25"/>
    <row r="63836" hidden="1" x14ac:dyDescent="0.25"/>
    <row r="63837" hidden="1" x14ac:dyDescent="0.25"/>
    <row r="63838" hidden="1" x14ac:dyDescent="0.25"/>
    <row r="63839" hidden="1" x14ac:dyDescent="0.25"/>
    <row r="63840" hidden="1" x14ac:dyDescent="0.25"/>
    <row r="63841" hidden="1" x14ac:dyDescent="0.25"/>
    <row r="63842" hidden="1" x14ac:dyDescent="0.25"/>
    <row r="63843" hidden="1" x14ac:dyDescent="0.25"/>
    <row r="63844" hidden="1" x14ac:dyDescent="0.25"/>
    <row r="63845" hidden="1" x14ac:dyDescent="0.25"/>
    <row r="63846" hidden="1" x14ac:dyDescent="0.25"/>
    <row r="63847" hidden="1" x14ac:dyDescent="0.25"/>
    <row r="63848" hidden="1" x14ac:dyDescent="0.25"/>
    <row r="63849" hidden="1" x14ac:dyDescent="0.25"/>
    <row r="63850" hidden="1" x14ac:dyDescent="0.25"/>
    <row r="63851" hidden="1" x14ac:dyDescent="0.25"/>
    <row r="63852" hidden="1" x14ac:dyDescent="0.25"/>
    <row r="63853" hidden="1" x14ac:dyDescent="0.25"/>
    <row r="63854" hidden="1" x14ac:dyDescent="0.25"/>
    <row r="63855" hidden="1" x14ac:dyDescent="0.25"/>
    <row r="63856" hidden="1" x14ac:dyDescent="0.25"/>
    <row r="63857" hidden="1" x14ac:dyDescent="0.25"/>
    <row r="63858" hidden="1" x14ac:dyDescent="0.25"/>
    <row r="63859" hidden="1" x14ac:dyDescent="0.25"/>
    <row r="63860" hidden="1" x14ac:dyDescent="0.25"/>
    <row r="63861" hidden="1" x14ac:dyDescent="0.25"/>
    <row r="63862" hidden="1" x14ac:dyDescent="0.25"/>
    <row r="63863" hidden="1" x14ac:dyDescent="0.25"/>
    <row r="63864" hidden="1" x14ac:dyDescent="0.25"/>
    <row r="63865" hidden="1" x14ac:dyDescent="0.25"/>
    <row r="63866" hidden="1" x14ac:dyDescent="0.25"/>
    <row r="63867" hidden="1" x14ac:dyDescent="0.25"/>
    <row r="63868" hidden="1" x14ac:dyDescent="0.25"/>
    <row r="63869" hidden="1" x14ac:dyDescent="0.25"/>
    <row r="63870" hidden="1" x14ac:dyDescent="0.25"/>
    <row r="63871" hidden="1" x14ac:dyDescent="0.25"/>
    <row r="63872" hidden="1" x14ac:dyDescent="0.25"/>
    <row r="63873" hidden="1" x14ac:dyDescent="0.25"/>
    <row r="63874" hidden="1" x14ac:dyDescent="0.25"/>
    <row r="63875" hidden="1" x14ac:dyDescent="0.25"/>
    <row r="63876" hidden="1" x14ac:dyDescent="0.25"/>
    <row r="63877" hidden="1" x14ac:dyDescent="0.25"/>
    <row r="63878" hidden="1" x14ac:dyDescent="0.25"/>
    <row r="63879" hidden="1" x14ac:dyDescent="0.25"/>
    <row r="63880" hidden="1" x14ac:dyDescent="0.25"/>
    <row r="63881" hidden="1" x14ac:dyDescent="0.25"/>
    <row r="63882" hidden="1" x14ac:dyDescent="0.25"/>
    <row r="63883" hidden="1" x14ac:dyDescent="0.25"/>
    <row r="63884" hidden="1" x14ac:dyDescent="0.25"/>
    <row r="63885" hidden="1" x14ac:dyDescent="0.25"/>
    <row r="63886" hidden="1" x14ac:dyDescent="0.25"/>
    <row r="63887" hidden="1" x14ac:dyDescent="0.25"/>
    <row r="63888" hidden="1" x14ac:dyDescent="0.25"/>
    <row r="63889" hidden="1" x14ac:dyDescent="0.25"/>
    <row r="63890" hidden="1" x14ac:dyDescent="0.25"/>
    <row r="63891" hidden="1" x14ac:dyDescent="0.25"/>
    <row r="63892" hidden="1" x14ac:dyDescent="0.25"/>
    <row r="63893" hidden="1" x14ac:dyDescent="0.25"/>
    <row r="63894" hidden="1" x14ac:dyDescent="0.25"/>
    <row r="63895" hidden="1" x14ac:dyDescent="0.25"/>
    <row r="63896" hidden="1" x14ac:dyDescent="0.25"/>
    <row r="63897" hidden="1" x14ac:dyDescent="0.25"/>
    <row r="63898" hidden="1" x14ac:dyDescent="0.25"/>
    <row r="63899" hidden="1" x14ac:dyDescent="0.25"/>
    <row r="63900" hidden="1" x14ac:dyDescent="0.25"/>
    <row r="63901" hidden="1" x14ac:dyDescent="0.25"/>
    <row r="63902" hidden="1" x14ac:dyDescent="0.25"/>
    <row r="63903" hidden="1" x14ac:dyDescent="0.25"/>
    <row r="63904" hidden="1" x14ac:dyDescent="0.25"/>
    <row r="63905" hidden="1" x14ac:dyDescent="0.25"/>
    <row r="63906" hidden="1" x14ac:dyDescent="0.25"/>
    <row r="63907" hidden="1" x14ac:dyDescent="0.25"/>
    <row r="63908" hidden="1" x14ac:dyDescent="0.25"/>
    <row r="63909" hidden="1" x14ac:dyDescent="0.25"/>
    <row r="63910" hidden="1" x14ac:dyDescent="0.25"/>
    <row r="63911" hidden="1" x14ac:dyDescent="0.25"/>
    <row r="63912" hidden="1" x14ac:dyDescent="0.25"/>
    <row r="63913" hidden="1" x14ac:dyDescent="0.25"/>
    <row r="63914" hidden="1" x14ac:dyDescent="0.25"/>
    <row r="63915" hidden="1" x14ac:dyDescent="0.25"/>
    <row r="63916" hidden="1" x14ac:dyDescent="0.25"/>
    <row r="63917" hidden="1" x14ac:dyDescent="0.25"/>
    <row r="63918" hidden="1" x14ac:dyDescent="0.25"/>
    <row r="63919" hidden="1" x14ac:dyDescent="0.25"/>
    <row r="63920" hidden="1" x14ac:dyDescent="0.25"/>
    <row r="63921" hidden="1" x14ac:dyDescent="0.25"/>
    <row r="63922" hidden="1" x14ac:dyDescent="0.25"/>
    <row r="63923" hidden="1" x14ac:dyDescent="0.25"/>
    <row r="63924" hidden="1" x14ac:dyDescent="0.25"/>
    <row r="63925" hidden="1" x14ac:dyDescent="0.25"/>
    <row r="63926" hidden="1" x14ac:dyDescent="0.25"/>
    <row r="63927" hidden="1" x14ac:dyDescent="0.25"/>
    <row r="63928" hidden="1" x14ac:dyDescent="0.25"/>
    <row r="63929" hidden="1" x14ac:dyDescent="0.25"/>
    <row r="63930" hidden="1" x14ac:dyDescent="0.25"/>
    <row r="63931" hidden="1" x14ac:dyDescent="0.25"/>
    <row r="63932" hidden="1" x14ac:dyDescent="0.25"/>
    <row r="63933" hidden="1" x14ac:dyDescent="0.25"/>
    <row r="63934" hidden="1" x14ac:dyDescent="0.25"/>
    <row r="63935" hidden="1" x14ac:dyDescent="0.25"/>
    <row r="63936" hidden="1" x14ac:dyDescent="0.25"/>
    <row r="63937" hidden="1" x14ac:dyDescent="0.25"/>
    <row r="63938" hidden="1" x14ac:dyDescent="0.25"/>
    <row r="63939" hidden="1" x14ac:dyDescent="0.25"/>
    <row r="63940" hidden="1" x14ac:dyDescent="0.25"/>
    <row r="63941" hidden="1" x14ac:dyDescent="0.25"/>
    <row r="63942" hidden="1" x14ac:dyDescent="0.25"/>
    <row r="63943" hidden="1" x14ac:dyDescent="0.25"/>
    <row r="63944" hidden="1" x14ac:dyDescent="0.25"/>
    <row r="63945" hidden="1" x14ac:dyDescent="0.25"/>
    <row r="63946" hidden="1" x14ac:dyDescent="0.25"/>
    <row r="63947" hidden="1" x14ac:dyDescent="0.25"/>
    <row r="63948" hidden="1" x14ac:dyDescent="0.25"/>
    <row r="63949" hidden="1" x14ac:dyDescent="0.25"/>
    <row r="63950" hidden="1" x14ac:dyDescent="0.25"/>
    <row r="63951" hidden="1" x14ac:dyDescent="0.25"/>
    <row r="63952" hidden="1" x14ac:dyDescent="0.25"/>
    <row r="63953" hidden="1" x14ac:dyDescent="0.25"/>
    <row r="63954" hidden="1" x14ac:dyDescent="0.25"/>
    <row r="63955" hidden="1" x14ac:dyDescent="0.25"/>
    <row r="63956" hidden="1" x14ac:dyDescent="0.25"/>
    <row r="63957" hidden="1" x14ac:dyDescent="0.25"/>
    <row r="63958" hidden="1" x14ac:dyDescent="0.25"/>
    <row r="63959" hidden="1" x14ac:dyDescent="0.25"/>
    <row r="63960" hidden="1" x14ac:dyDescent="0.25"/>
    <row r="63961" hidden="1" x14ac:dyDescent="0.25"/>
    <row r="63962" hidden="1" x14ac:dyDescent="0.25"/>
    <row r="63963" hidden="1" x14ac:dyDescent="0.25"/>
    <row r="63964" hidden="1" x14ac:dyDescent="0.25"/>
    <row r="63965" hidden="1" x14ac:dyDescent="0.25"/>
    <row r="63966" hidden="1" x14ac:dyDescent="0.25"/>
    <row r="63967" hidden="1" x14ac:dyDescent="0.25"/>
    <row r="63968" hidden="1" x14ac:dyDescent="0.25"/>
    <row r="63969" hidden="1" x14ac:dyDescent="0.25"/>
    <row r="63970" hidden="1" x14ac:dyDescent="0.25"/>
    <row r="63971" hidden="1" x14ac:dyDescent="0.25"/>
    <row r="63972" hidden="1" x14ac:dyDescent="0.25"/>
    <row r="63973" hidden="1" x14ac:dyDescent="0.25"/>
    <row r="63974" hidden="1" x14ac:dyDescent="0.25"/>
    <row r="63975" hidden="1" x14ac:dyDescent="0.25"/>
    <row r="63976" hidden="1" x14ac:dyDescent="0.25"/>
    <row r="63977" hidden="1" x14ac:dyDescent="0.25"/>
    <row r="63978" hidden="1" x14ac:dyDescent="0.25"/>
    <row r="63979" hidden="1" x14ac:dyDescent="0.25"/>
    <row r="63980" hidden="1" x14ac:dyDescent="0.25"/>
    <row r="63981" hidden="1" x14ac:dyDescent="0.25"/>
    <row r="63982" hidden="1" x14ac:dyDescent="0.25"/>
    <row r="63983" hidden="1" x14ac:dyDescent="0.25"/>
    <row r="63984" hidden="1" x14ac:dyDescent="0.25"/>
    <row r="63985" hidden="1" x14ac:dyDescent="0.25"/>
    <row r="63986" hidden="1" x14ac:dyDescent="0.25"/>
    <row r="63987" hidden="1" x14ac:dyDescent="0.25"/>
    <row r="63988" hidden="1" x14ac:dyDescent="0.25"/>
    <row r="63989" hidden="1" x14ac:dyDescent="0.25"/>
    <row r="63990" hidden="1" x14ac:dyDescent="0.25"/>
    <row r="63991" hidden="1" x14ac:dyDescent="0.25"/>
    <row r="63992" hidden="1" x14ac:dyDescent="0.25"/>
    <row r="63993" hidden="1" x14ac:dyDescent="0.25"/>
    <row r="63994" hidden="1" x14ac:dyDescent="0.25"/>
    <row r="63995" hidden="1" x14ac:dyDescent="0.25"/>
    <row r="63996" hidden="1" x14ac:dyDescent="0.25"/>
    <row r="63997" hidden="1" x14ac:dyDescent="0.25"/>
    <row r="63998" hidden="1" x14ac:dyDescent="0.25"/>
    <row r="63999" hidden="1" x14ac:dyDescent="0.25"/>
    <row r="64000" hidden="1" x14ac:dyDescent="0.25"/>
    <row r="64001" hidden="1" x14ac:dyDescent="0.25"/>
    <row r="64002" hidden="1" x14ac:dyDescent="0.25"/>
    <row r="64003" hidden="1" x14ac:dyDescent="0.25"/>
    <row r="64004" hidden="1" x14ac:dyDescent="0.25"/>
    <row r="64005" hidden="1" x14ac:dyDescent="0.25"/>
    <row r="64006" hidden="1" x14ac:dyDescent="0.25"/>
    <row r="64007" hidden="1" x14ac:dyDescent="0.25"/>
    <row r="64008" hidden="1" x14ac:dyDescent="0.25"/>
    <row r="64009" hidden="1" x14ac:dyDescent="0.25"/>
    <row r="64010" hidden="1" x14ac:dyDescent="0.25"/>
    <row r="64011" hidden="1" x14ac:dyDescent="0.25"/>
    <row r="64012" hidden="1" x14ac:dyDescent="0.25"/>
    <row r="64013" hidden="1" x14ac:dyDescent="0.25"/>
    <row r="64014" hidden="1" x14ac:dyDescent="0.25"/>
    <row r="64015" hidden="1" x14ac:dyDescent="0.25"/>
    <row r="64016" hidden="1" x14ac:dyDescent="0.25"/>
    <row r="64017" hidden="1" x14ac:dyDescent="0.25"/>
    <row r="64018" hidden="1" x14ac:dyDescent="0.25"/>
    <row r="64019" hidden="1" x14ac:dyDescent="0.25"/>
    <row r="64020" hidden="1" x14ac:dyDescent="0.25"/>
    <row r="64021" hidden="1" x14ac:dyDescent="0.25"/>
    <row r="64022" hidden="1" x14ac:dyDescent="0.25"/>
    <row r="64023" hidden="1" x14ac:dyDescent="0.25"/>
    <row r="64024" hidden="1" x14ac:dyDescent="0.25"/>
    <row r="64025" hidden="1" x14ac:dyDescent="0.25"/>
    <row r="64026" hidden="1" x14ac:dyDescent="0.25"/>
    <row r="64027" hidden="1" x14ac:dyDescent="0.25"/>
    <row r="64028" hidden="1" x14ac:dyDescent="0.25"/>
    <row r="64029" hidden="1" x14ac:dyDescent="0.25"/>
    <row r="64030" hidden="1" x14ac:dyDescent="0.25"/>
    <row r="64031" hidden="1" x14ac:dyDescent="0.25"/>
    <row r="64032" hidden="1" x14ac:dyDescent="0.25"/>
    <row r="64033" hidden="1" x14ac:dyDescent="0.25"/>
    <row r="64034" hidden="1" x14ac:dyDescent="0.25"/>
    <row r="64035" hidden="1" x14ac:dyDescent="0.25"/>
    <row r="64036" hidden="1" x14ac:dyDescent="0.25"/>
    <row r="64037" hidden="1" x14ac:dyDescent="0.25"/>
    <row r="64038" hidden="1" x14ac:dyDescent="0.25"/>
    <row r="64039" hidden="1" x14ac:dyDescent="0.25"/>
    <row r="64040" hidden="1" x14ac:dyDescent="0.25"/>
    <row r="64041" hidden="1" x14ac:dyDescent="0.25"/>
    <row r="64042" hidden="1" x14ac:dyDescent="0.25"/>
    <row r="64043" hidden="1" x14ac:dyDescent="0.25"/>
    <row r="64044" hidden="1" x14ac:dyDescent="0.25"/>
    <row r="64045" hidden="1" x14ac:dyDescent="0.25"/>
    <row r="64046" hidden="1" x14ac:dyDescent="0.25"/>
    <row r="64047" hidden="1" x14ac:dyDescent="0.25"/>
    <row r="64048" hidden="1" x14ac:dyDescent="0.25"/>
    <row r="64049" hidden="1" x14ac:dyDescent="0.25"/>
    <row r="64050" hidden="1" x14ac:dyDescent="0.25"/>
    <row r="64051" hidden="1" x14ac:dyDescent="0.25"/>
    <row r="64052" hidden="1" x14ac:dyDescent="0.25"/>
    <row r="64053" hidden="1" x14ac:dyDescent="0.25"/>
    <row r="64054" hidden="1" x14ac:dyDescent="0.25"/>
    <row r="64055" hidden="1" x14ac:dyDescent="0.25"/>
    <row r="64056" hidden="1" x14ac:dyDescent="0.25"/>
    <row r="64057" hidden="1" x14ac:dyDescent="0.25"/>
    <row r="64058" hidden="1" x14ac:dyDescent="0.25"/>
    <row r="64059" hidden="1" x14ac:dyDescent="0.25"/>
    <row r="64060" hidden="1" x14ac:dyDescent="0.25"/>
    <row r="64061" hidden="1" x14ac:dyDescent="0.25"/>
    <row r="64062" hidden="1" x14ac:dyDescent="0.25"/>
    <row r="64063" hidden="1" x14ac:dyDescent="0.25"/>
    <row r="64064" hidden="1" x14ac:dyDescent="0.25"/>
    <row r="64065" hidden="1" x14ac:dyDescent="0.25"/>
    <row r="64066" hidden="1" x14ac:dyDescent="0.25"/>
    <row r="64067" hidden="1" x14ac:dyDescent="0.25"/>
    <row r="64068" hidden="1" x14ac:dyDescent="0.25"/>
    <row r="64069" hidden="1" x14ac:dyDescent="0.25"/>
    <row r="64070" hidden="1" x14ac:dyDescent="0.25"/>
    <row r="64071" hidden="1" x14ac:dyDescent="0.25"/>
    <row r="64072" hidden="1" x14ac:dyDescent="0.25"/>
    <row r="64073" hidden="1" x14ac:dyDescent="0.25"/>
    <row r="64074" hidden="1" x14ac:dyDescent="0.25"/>
    <row r="64075" hidden="1" x14ac:dyDescent="0.25"/>
    <row r="64076" hidden="1" x14ac:dyDescent="0.25"/>
    <row r="64077" hidden="1" x14ac:dyDescent="0.25"/>
    <row r="64078" hidden="1" x14ac:dyDescent="0.25"/>
    <row r="64079" hidden="1" x14ac:dyDescent="0.25"/>
    <row r="64080" hidden="1" x14ac:dyDescent="0.25"/>
    <row r="64081" hidden="1" x14ac:dyDescent="0.25"/>
    <row r="64082" hidden="1" x14ac:dyDescent="0.25"/>
    <row r="64083" hidden="1" x14ac:dyDescent="0.25"/>
    <row r="64084" hidden="1" x14ac:dyDescent="0.25"/>
    <row r="64085" hidden="1" x14ac:dyDescent="0.25"/>
    <row r="64086" hidden="1" x14ac:dyDescent="0.25"/>
    <row r="64087" hidden="1" x14ac:dyDescent="0.25"/>
    <row r="64088" hidden="1" x14ac:dyDescent="0.25"/>
    <row r="64089" hidden="1" x14ac:dyDescent="0.25"/>
    <row r="64090" hidden="1" x14ac:dyDescent="0.25"/>
    <row r="64091" hidden="1" x14ac:dyDescent="0.25"/>
    <row r="64092" hidden="1" x14ac:dyDescent="0.25"/>
    <row r="64093" hidden="1" x14ac:dyDescent="0.25"/>
    <row r="64094" hidden="1" x14ac:dyDescent="0.25"/>
    <row r="64095" hidden="1" x14ac:dyDescent="0.25"/>
    <row r="64096" hidden="1" x14ac:dyDescent="0.25"/>
    <row r="64097" hidden="1" x14ac:dyDescent="0.25"/>
    <row r="64098" hidden="1" x14ac:dyDescent="0.25"/>
    <row r="64099" hidden="1" x14ac:dyDescent="0.25"/>
    <row r="64100" hidden="1" x14ac:dyDescent="0.25"/>
    <row r="64101" hidden="1" x14ac:dyDescent="0.25"/>
    <row r="64102" hidden="1" x14ac:dyDescent="0.25"/>
    <row r="64103" hidden="1" x14ac:dyDescent="0.25"/>
    <row r="64104" hidden="1" x14ac:dyDescent="0.25"/>
    <row r="64105" hidden="1" x14ac:dyDescent="0.25"/>
    <row r="64106" hidden="1" x14ac:dyDescent="0.25"/>
    <row r="64107" hidden="1" x14ac:dyDescent="0.25"/>
    <row r="64108" hidden="1" x14ac:dyDescent="0.25"/>
    <row r="64109" hidden="1" x14ac:dyDescent="0.25"/>
    <row r="64110" hidden="1" x14ac:dyDescent="0.25"/>
    <row r="64111" hidden="1" x14ac:dyDescent="0.25"/>
    <row r="64112" hidden="1" x14ac:dyDescent="0.25"/>
    <row r="64113" hidden="1" x14ac:dyDescent="0.25"/>
    <row r="64114" hidden="1" x14ac:dyDescent="0.25"/>
    <row r="64115" hidden="1" x14ac:dyDescent="0.25"/>
    <row r="64116" hidden="1" x14ac:dyDescent="0.25"/>
    <row r="64117" hidden="1" x14ac:dyDescent="0.25"/>
    <row r="64118" hidden="1" x14ac:dyDescent="0.25"/>
    <row r="64119" hidden="1" x14ac:dyDescent="0.25"/>
    <row r="64120" hidden="1" x14ac:dyDescent="0.25"/>
    <row r="64121" hidden="1" x14ac:dyDescent="0.25"/>
    <row r="64122" hidden="1" x14ac:dyDescent="0.25"/>
    <row r="64123" hidden="1" x14ac:dyDescent="0.25"/>
    <row r="64124" hidden="1" x14ac:dyDescent="0.25"/>
    <row r="64125" hidden="1" x14ac:dyDescent="0.25"/>
    <row r="64126" hidden="1" x14ac:dyDescent="0.25"/>
    <row r="64127" hidden="1" x14ac:dyDescent="0.25"/>
    <row r="64128" hidden="1" x14ac:dyDescent="0.25"/>
    <row r="64129" hidden="1" x14ac:dyDescent="0.25"/>
    <row r="64130" hidden="1" x14ac:dyDescent="0.25"/>
    <row r="64131" hidden="1" x14ac:dyDescent="0.25"/>
    <row r="64132" hidden="1" x14ac:dyDescent="0.25"/>
    <row r="64133" hidden="1" x14ac:dyDescent="0.25"/>
    <row r="64134" hidden="1" x14ac:dyDescent="0.25"/>
    <row r="64135" hidden="1" x14ac:dyDescent="0.25"/>
    <row r="64136" hidden="1" x14ac:dyDescent="0.25"/>
    <row r="64137" hidden="1" x14ac:dyDescent="0.25"/>
    <row r="64138" hidden="1" x14ac:dyDescent="0.25"/>
    <row r="64139" hidden="1" x14ac:dyDescent="0.25"/>
    <row r="64140" hidden="1" x14ac:dyDescent="0.25"/>
    <row r="64141" hidden="1" x14ac:dyDescent="0.25"/>
    <row r="64142" hidden="1" x14ac:dyDescent="0.25"/>
    <row r="64143" hidden="1" x14ac:dyDescent="0.25"/>
    <row r="64144" hidden="1" x14ac:dyDescent="0.25"/>
    <row r="64145" hidden="1" x14ac:dyDescent="0.25"/>
    <row r="64146" hidden="1" x14ac:dyDescent="0.25"/>
    <row r="64147" hidden="1" x14ac:dyDescent="0.25"/>
    <row r="64148" hidden="1" x14ac:dyDescent="0.25"/>
    <row r="64149" hidden="1" x14ac:dyDescent="0.25"/>
    <row r="64150" hidden="1" x14ac:dyDescent="0.25"/>
    <row r="64151" hidden="1" x14ac:dyDescent="0.25"/>
    <row r="64152" hidden="1" x14ac:dyDescent="0.25"/>
    <row r="64153" hidden="1" x14ac:dyDescent="0.25"/>
    <row r="64154" hidden="1" x14ac:dyDescent="0.25"/>
    <row r="64155" hidden="1" x14ac:dyDescent="0.25"/>
    <row r="64156" hidden="1" x14ac:dyDescent="0.25"/>
    <row r="64157" hidden="1" x14ac:dyDescent="0.25"/>
    <row r="64158" hidden="1" x14ac:dyDescent="0.25"/>
    <row r="64159" hidden="1" x14ac:dyDescent="0.25"/>
    <row r="64160" hidden="1" x14ac:dyDescent="0.25"/>
    <row r="64161" hidden="1" x14ac:dyDescent="0.25"/>
    <row r="64162" hidden="1" x14ac:dyDescent="0.25"/>
    <row r="64163" hidden="1" x14ac:dyDescent="0.25"/>
    <row r="64164" hidden="1" x14ac:dyDescent="0.25"/>
    <row r="64165" hidden="1" x14ac:dyDescent="0.25"/>
    <row r="64166" hidden="1" x14ac:dyDescent="0.25"/>
    <row r="64167" hidden="1" x14ac:dyDescent="0.25"/>
    <row r="64168" hidden="1" x14ac:dyDescent="0.25"/>
    <row r="64169" hidden="1" x14ac:dyDescent="0.25"/>
    <row r="64170" hidden="1" x14ac:dyDescent="0.25"/>
    <row r="64171" hidden="1" x14ac:dyDescent="0.25"/>
    <row r="64172" hidden="1" x14ac:dyDescent="0.25"/>
    <row r="64173" hidden="1" x14ac:dyDescent="0.25"/>
    <row r="64174" hidden="1" x14ac:dyDescent="0.25"/>
    <row r="64175" hidden="1" x14ac:dyDescent="0.25"/>
    <row r="64176" hidden="1" x14ac:dyDescent="0.25"/>
    <row r="64177" hidden="1" x14ac:dyDescent="0.25"/>
    <row r="64178" hidden="1" x14ac:dyDescent="0.25"/>
    <row r="64179" hidden="1" x14ac:dyDescent="0.25"/>
    <row r="64180" hidden="1" x14ac:dyDescent="0.25"/>
    <row r="64181" hidden="1" x14ac:dyDescent="0.25"/>
    <row r="64182" hidden="1" x14ac:dyDescent="0.25"/>
    <row r="64183" hidden="1" x14ac:dyDescent="0.25"/>
    <row r="64184" hidden="1" x14ac:dyDescent="0.25"/>
    <row r="64185" hidden="1" x14ac:dyDescent="0.25"/>
    <row r="64186" hidden="1" x14ac:dyDescent="0.25"/>
    <row r="64187" hidden="1" x14ac:dyDescent="0.25"/>
    <row r="64188" hidden="1" x14ac:dyDescent="0.25"/>
    <row r="64189" hidden="1" x14ac:dyDescent="0.25"/>
    <row r="64190" hidden="1" x14ac:dyDescent="0.25"/>
    <row r="64191" hidden="1" x14ac:dyDescent="0.25"/>
    <row r="64192" hidden="1" x14ac:dyDescent="0.25"/>
    <row r="64193" hidden="1" x14ac:dyDescent="0.25"/>
    <row r="64194" hidden="1" x14ac:dyDescent="0.25"/>
    <row r="64195" hidden="1" x14ac:dyDescent="0.25"/>
    <row r="64196" hidden="1" x14ac:dyDescent="0.25"/>
    <row r="64197" hidden="1" x14ac:dyDescent="0.25"/>
    <row r="64198" hidden="1" x14ac:dyDescent="0.25"/>
    <row r="64199" hidden="1" x14ac:dyDescent="0.25"/>
    <row r="64200" hidden="1" x14ac:dyDescent="0.25"/>
    <row r="64201" hidden="1" x14ac:dyDescent="0.25"/>
    <row r="64202" hidden="1" x14ac:dyDescent="0.25"/>
    <row r="64203" hidden="1" x14ac:dyDescent="0.25"/>
    <row r="64204" hidden="1" x14ac:dyDescent="0.25"/>
    <row r="64205" hidden="1" x14ac:dyDescent="0.25"/>
    <row r="64206" hidden="1" x14ac:dyDescent="0.25"/>
    <row r="64207" hidden="1" x14ac:dyDescent="0.25"/>
    <row r="64208" hidden="1" x14ac:dyDescent="0.25"/>
    <row r="64209" hidden="1" x14ac:dyDescent="0.25"/>
    <row r="64210" hidden="1" x14ac:dyDescent="0.25"/>
    <row r="64211" hidden="1" x14ac:dyDescent="0.25"/>
    <row r="64212" hidden="1" x14ac:dyDescent="0.25"/>
    <row r="64213" hidden="1" x14ac:dyDescent="0.25"/>
    <row r="64214" hidden="1" x14ac:dyDescent="0.25"/>
    <row r="64215" hidden="1" x14ac:dyDescent="0.25"/>
    <row r="64216" hidden="1" x14ac:dyDescent="0.25"/>
    <row r="64217" hidden="1" x14ac:dyDescent="0.25"/>
    <row r="64218" hidden="1" x14ac:dyDescent="0.25"/>
    <row r="64219" hidden="1" x14ac:dyDescent="0.25"/>
    <row r="64220" hidden="1" x14ac:dyDescent="0.25"/>
    <row r="64221" hidden="1" x14ac:dyDescent="0.25"/>
    <row r="64222" hidden="1" x14ac:dyDescent="0.25"/>
    <row r="64223" hidden="1" x14ac:dyDescent="0.25"/>
    <row r="64224" hidden="1" x14ac:dyDescent="0.25"/>
    <row r="64225" hidden="1" x14ac:dyDescent="0.25"/>
    <row r="64226" hidden="1" x14ac:dyDescent="0.25"/>
    <row r="64227" hidden="1" x14ac:dyDescent="0.25"/>
    <row r="64228" hidden="1" x14ac:dyDescent="0.25"/>
    <row r="64229" hidden="1" x14ac:dyDescent="0.25"/>
    <row r="64230" hidden="1" x14ac:dyDescent="0.25"/>
    <row r="64231" hidden="1" x14ac:dyDescent="0.25"/>
    <row r="64232" hidden="1" x14ac:dyDescent="0.25"/>
    <row r="64233" hidden="1" x14ac:dyDescent="0.25"/>
    <row r="64234" hidden="1" x14ac:dyDescent="0.25"/>
    <row r="64235" hidden="1" x14ac:dyDescent="0.25"/>
    <row r="64236" hidden="1" x14ac:dyDescent="0.25"/>
    <row r="64237" hidden="1" x14ac:dyDescent="0.25"/>
    <row r="64238" hidden="1" x14ac:dyDescent="0.25"/>
    <row r="64239" hidden="1" x14ac:dyDescent="0.25"/>
    <row r="64240" hidden="1" x14ac:dyDescent="0.25"/>
    <row r="64241" hidden="1" x14ac:dyDescent="0.25"/>
    <row r="64242" hidden="1" x14ac:dyDescent="0.25"/>
    <row r="64243" hidden="1" x14ac:dyDescent="0.25"/>
    <row r="64244" hidden="1" x14ac:dyDescent="0.25"/>
    <row r="64245" hidden="1" x14ac:dyDescent="0.25"/>
    <row r="64246" hidden="1" x14ac:dyDescent="0.25"/>
    <row r="64247" hidden="1" x14ac:dyDescent="0.25"/>
    <row r="64248" hidden="1" x14ac:dyDescent="0.25"/>
    <row r="64249" hidden="1" x14ac:dyDescent="0.25"/>
    <row r="64250" hidden="1" x14ac:dyDescent="0.25"/>
    <row r="64251" hidden="1" x14ac:dyDescent="0.25"/>
    <row r="64252" hidden="1" x14ac:dyDescent="0.25"/>
    <row r="64253" hidden="1" x14ac:dyDescent="0.25"/>
    <row r="64254" hidden="1" x14ac:dyDescent="0.25"/>
    <row r="64255" hidden="1" x14ac:dyDescent="0.25"/>
    <row r="64256" hidden="1" x14ac:dyDescent="0.25"/>
    <row r="64257" hidden="1" x14ac:dyDescent="0.25"/>
    <row r="64258" hidden="1" x14ac:dyDescent="0.25"/>
    <row r="64259" hidden="1" x14ac:dyDescent="0.25"/>
    <row r="64260" hidden="1" x14ac:dyDescent="0.25"/>
    <row r="64261" hidden="1" x14ac:dyDescent="0.25"/>
    <row r="64262" hidden="1" x14ac:dyDescent="0.25"/>
    <row r="64263" hidden="1" x14ac:dyDescent="0.25"/>
    <row r="64264" hidden="1" x14ac:dyDescent="0.25"/>
    <row r="64265" hidden="1" x14ac:dyDescent="0.25"/>
    <row r="64266" hidden="1" x14ac:dyDescent="0.25"/>
    <row r="64267" hidden="1" x14ac:dyDescent="0.25"/>
    <row r="64268" hidden="1" x14ac:dyDescent="0.25"/>
    <row r="64269" hidden="1" x14ac:dyDescent="0.25"/>
    <row r="64270" hidden="1" x14ac:dyDescent="0.25"/>
    <row r="64271" hidden="1" x14ac:dyDescent="0.25"/>
    <row r="64272" hidden="1" x14ac:dyDescent="0.25"/>
    <row r="64273" hidden="1" x14ac:dyDescent="0.25"/>
    <row r="64274" hidden="1" x14ac:dyDescent="0.25"/>
    <row r="64275" hidden="1" x14ac:dyDescent="0.25"/>
    <row r="64276" hidden="1" x14ac:dyDescent="0.25"/>
    <row r="64277" hidden="1" x14ac:dyDescent="0.25"/>
    <row r="64278" hidden="1" x14ac:dyDescent="0.25"/>
    <row r="64279" hidden="1" x14ac:dyDescent="0.25"/>
    <row r="64280" hidden="1" x14ac:dyDescent="0.25"/>
    <row r="64281" hidden="1" x14ac:dyDescent="0.25"/>
    <row r="64282" hidden="1" x14ac:dyDescent="0.25"/>
    <row r="64283" hidden="1" x14ac:dyDescent="0.25"/>
    <row r="64284" hidden="1" x14ac:dyDescent="0.25"/>
    <row r="64285" hidden="1" x14ac:dyDescent="0.25"/>
    <row r="64286" hidden="1" x14ac:dyDescent="0.25"/>
    <row r="64287" hidden="1" x14ac:dyDescent="0.25"/>
    <row r="64288" hidden="1" x14ac:dyDescent="0.25"/>
    <row r="64289" hidden="1" x14ac:dyDescent="0.25"/>
    <row r="64290" hidden="1" x14ac:dyDescent="0.25"/>
    <row r="64291" hidden="1" x14ac:dyDescent="0.25"/>
    <row r="64292" hidden="1" x14ac:dyDescent="0.25"/>
    <row r="64293" hidden="1" x14ac:dyDescent="0.25"/>
    <row r="64294" hidden="1" x14ac:dyDescent="0.25"/>
    <row r="64295" hidden="1" x14ac:dyDescent="0.25"/>
    <row r="64296" hidden="1" x14ac:dyDescent="0.25"/>
    <row r="64297" hidden="1" x14ac:dyDescent="0.25"/>
    <row r="64298" hidden="1" x14ac:dyDescent="0.25"/>
    <row r="64299" hidden="1" x14ac:dyDescent="0.25"/>
    <row r="64300" hidden="1" x14ac:dyDescent="0.25"/>
    <row r="64301" hidden="1" x14ac:dyDescent="0.25"/>
    <row r="64302" hidden="1" x14ac:dyDescent="0.25"/>
    <row r="64303" hidden="1" x14ac:dyDescent="0.25"/>
    <row r="64304" hidden="1" x14ac:dyDescent="0.25"/>
    <row r="64305" hidden="1" x14ac:dyDescent="0.25"/>
    <row r="64306" hidden="1" x14ac:dyDescent="0.25"/>
    <row r="64307" hidden="1" x14ac:dyDescent="0.25"/>
    <row r="64308" hidden="1" x14ac:dyDescent="0.25"/>
    <row r="64309" hidden="1" x14ac:dyDescent="0.25"/>
    <row r="64310" hidden="1" x14ac:dyDescent="0.25"/>
    <row r="64311" hidden="1" x14ac:dyDescent="0.25"/>
    <row r="64312" hidden="1" x14ac:dyDescent="0.25"/>
    <row r="64313" hidden="1" x14ac:dyDescent="0.25"/>
    <row r="64314" hidden="1" x14ac:dyDescent="0.25"/>
    <row r="64315" hidden="1" x14ac:dyDescent="0.25"/>
    <row r="64316" hidden="1" x14ac:dyDescent="0.25"/>
    <row r="64317" hidden="1" x14ac:dyDescent="0.25"/>
    <row r="64318" hidden="1" x14ac:dyDescent="0.25"/>
    <row r="64319" hidden="1" x14ac:dyDescent="0.25"/>
    <row r="64320" hidden="1" x14ac:dyDescent="0.25"/>
    <row r="64321" hidden="1" x14ac:dyDescent="0.25"/>
    <row r="64322" hidden="1" x14ac:dyDescent="0.25"/>
    <row r="64323" hidden="1" x14ac:dyDescent="0.25"/>
    <row r="64324" hidden="1" x14ac:dyDescent="0.25"/>
    <row r="64325" hidden="1" x14ac:dyDescent="0.25"/>
    <row r="64326" hidden="1" x14ac:dyDescent="0.25"/>
    <row r="64327" hidden="1" x14ac:dyDescent="0.25"/>
    <row r="64328" hidden="1" x14ac:dyDescent="0.25"/>
    <row r="64329" hidden="1" x14ac:dyDescent="0.25"/>
    <row r="64330" hidden="1" x14ac:dyDescent="0.25"/>
    <row r="64331" hidden="1" x14ac:dyDescent="0.25"/>
    <row r="64332" hidden="1" x14ac:dyDescent="0.25"/>
    <row r="64333" hidden="1" x14ac:dyDescent="0.25"/>
    <row r="64334" hidden="1" x14ac:dyDescent="0.25"/>
    <row r="64335" hidden="1" x14ac:dyDescent="0.25"/>
    <row r="64336" hidden="1" x14ac:dyDescent="0.25"/>
    <row r="64337" hidden="1" x14ac:dyDescent="0.25"/>
    <row r="64338" hidden="1" x14ac:dyDescent="0.25"/>
    <row r="64339" hidden="1" x14ac:dyDescent="0.25"/>
    <row r="64340" hidden="1" x14ac:dyDescent="0.25"/>
    <row r="64341" hidden="1" x14ac:dyDescent="0.25"/>
    <row r="64342" hidden="1" x14ac:dyDescent="0.25"/>
    <row r="64343" hidden="1" x14ac:dyDescent="0.25"/>
    <row r="64344" hidden="1" x14ac:dyDescent="0.25"/>
    <row r="64345" hidden="1" x14ac:dyDescent="0.25"/>
    <row r="64346" hidden="1" x14ac:dyDescent="0.25"/>
    <row r="64347" hidden="1" x14ac:dyDescent="0.25"/>
    <row r="64348" hidden="1" x14ac:dyDescent="0.25"/>
    <row r="64349" hidden="1" x14ac:dyDescent="0.25"/>
    <row r="64350" hidden="1" x14ac:dyDescent="0.25"/>
    <row r="64351" hidden="1" x14ac:dyDescent="0.25"/>
    <row r="64352" hidden="1" x14ac:dyDescent="0.25"/>
    <row r="64353" hidden="1" x14ac:dyDescent="0.25"/>
    <row r="64354" hidden="1" x14ac:dyDescent="0.25"/>
    <row r="64355" hidden="1" x14ac:dyDescent="0.25"/>
    <row r="64356" hidden="1" x14ac:dyDescent="0.25"/>
    <row r="64357" hidden="1" x14ac:dyDescent="0.25"/>
    <row r="64358" hidden="1" x14ac:dyDescent="0.25"/>
    <row r="64359" hidden="1" x14ac:dyDescent="0.25"/>
    <row r="64360" hidden="1" x14ac:dyDescent="0.25"/>
    <row r="64361" hidden="1" x14ac:dyDescent="0.25"/>
    <row r="64362" hidden="1" x14ac:dyDescent="0.25"/>
    <row r="64363" hidden="1" x14ac:dyDescent="0.25"/>
    <row r="64364" hidden="1" x14ac:dyDescent="0.25"/>
    <row r="64365" hidden="1" x14ac:dyDescent="0.25"/>
    <row r="64366" hidden="1" x14ac:dyDescent="0.25"/>
    <row r="64367" hidden="1" x14ac:dyDescent="0.25"/>
    <row r="64368" hidden="1" x14ac:dyDescent="0.25"/>
    <row r="64369" hidden="1" x14ac:dyDescent="0.25"/>
    <row r="64370" hidden="1" x14ac:dyDescent="0.25"/>
    <row r="64371" hidden="1" x14ac:dyDescent="0.25"/>
    <row r="64372" hidden="1" x14ac:dyDescent="0.25"/>
    <row r="64373" hidden="1" x14ac:dyDescent="0.25"/>
    <row r="64374" hidden="1" x14ac:dyDescent="0.25"/>
    <row r="64375" hidden="1" x14ac:dyDescent="0.25"/>
    <row r="64376" hidden="1" x14ac:dyDescent="0.25"/>
    <row r="64377" hidden="1" x14ac:dyDescent="0.25"/>
    <row r="64378" hidden="1" x14ac:dyDescent="0.25"/>
    <row r="64379" hidden="1" x14ac:dyDescent="0.25"/>
    <row r="64380" hidden="1" x14ac:dyDescent="0.25"/>
    <row r="64381" hidden="1" x14ac:dyDescent="0.25"/>
    <row r="64382" hidden="1" x14ac:dyDescent="0.25"/>
    <row r="64383" hidden="1" x14ac:dyDescent="0.25"/>
    <row r="64384" hidden="1" x14ac:dyDescent="0.25"/>
    <row r="64385" hidden="1" x14ac:dyDescent="0.25"/>
    <row r="64386" hidden="1" x14ac:dyDescent="0.25"/>
    <row r="64387" hidden="1" x14ac:dyDescent="0.25"/>
    <row r="64388" hidden="1" x14ac:dyDescent="0.25"/>
    <row r="64389" hidden="1" x14ac:dyDescent="0.25"/>
    <row r="64390" hidden="1" x14ac:dyDescent="0.25"/>
    <row r="64391" hidden="1" x14ac:dyDescent="0.25"/>
    <row r="64392" hidden="1" x14ac:dyDescent="0.25"/>
    <row r="64393" hidden="1" x14ac:dyDescent="0.25"/>
    <row r="64394" hidden="1" x14ac:dyDescent="0.25"/>
    <row r="64395" hidden="1" x14ac:dyDescent="0.25"/>
    <row r="64396" hidden="1" x14ac:dyDescent="0.25"/>
    <row r="64397" hidden="1" x14ac:dyDescent="0.25"/>
    <row r="64398" hidden="1" x14ac:dyDescent="0.25"/>
    <row r="64399" hidden="1" x14ac:dyDescent="0.25"/>
    <row r="64400" hidden="1" x14ac:dyDescent="0.25"/>
    <row r="64401" hidden="1" x14ac:dyDescent="0.25"/>
    <row r="64402" hidden="1" x14ac:dyDescent="0.25"/>
    <row r="64403" hidden="1" x14ac:dyDescent="0.25"/>
    <row r="64404" hidden="1" x14ac:dyDescent="0.25"/>
    <row r="64405" hidden="1" x14ac:dyDescent="0.25"/>
    <row r="64406" hidden="1" x14ac:dyDescent="0.25"/>
    <row r="64407" hidden="1" x14ac:dyDescent="0.25"/>
    <row r="64408" hidden="1" x14ac:dyDescent="0.25"/>
    <row r="64409" hidden="1" x14ac:dyDescent="0.25"/>
    <row r="64410" hidden="1" x14ac:dyDescent="0.25"/>
    <row r="64411" hidden="1" x14ac:dyDescent="0.25"/>
    <row r="64412" hidden="1" x14ac:dyDescent="0.25"/>
    <row r="64413" hidden="1" x14ac:dyDescent="0.25"/>
    <row r="64414" hidden="1" x14ac:dyDescent="0.25"/>
    <row r="64415" hidden="1" x14ac:dyDescent="0.25"/>
    <row r="64416" hidden="1" x14ac:dyDescent="0.25"/>
    <row r="64417" hidden="1" x14ac:dyDescent="0.25"/>
    <row r="64418" hidden="1" x14ac:dyDescent="0.25"/>
    <row r="64419" hidden="1" x14ac:dyDescent="0.25"/>
    <row r="64420" hidden="1" x14ac:dyDescent="0.25"/>
    <row r="64421" hidden="1" x14ac:dyDescent="0.25"/>
    <row r="64422" hidden="1" x14ac:dyDescent="0.25"/>
    <row r="64423" hidden="1" x14ac:dyDescent="0.25"/>
    <row r="64424" hidden="1" x14ac:dyDescent="0.25"/>
    <row r="64425" hidden="1" x14ac:dyDescent="0.25"/>
    <row r="64426" hidden="1" x14ac:dyDescent="0.25"/>
    <row r="64427" hidden="1" x14ac:dyDescent="0.25"/>
    <row r="64428" hidden="1" x14ac:dyDescent="0.25"/>
    <row r="64429" hidden="1" x14ac:dyDescent="0.25"/>
    <row r="64430" hidden="1" x14ac:dyDescent="0.25"/>
    <row r="64431" hidden="1" x14ac:dyDescent="0.25"/>
    <row r="64432" hidden="1" x14ac:dyDescent="0.25"/>
    <row r="64433" hidden="1" x14ac:dyDescent="0.25"/>
    <row r="64434" hidden="1" x14ac:dyDescent="0.25"/>
    <row r="64435" hidden="1" x14ac:dyDescent="0.25"/>
    <row r="64436" hidden="1" x14ac:dyDescent="0.25"/>
    <row r="64437" hidden="1" x14ac:dyDescent="0.25"/>
    <row r="64438" hidden="1" x14ac:dyDescent="0.25"/>
    <row r="64439" hidden="1" x14ac:dyDescent="0.25"/>
    <row r="64440" hidden="1" x14ac:dyDescent="0.25"/>
    <row r="64441" hidden="1" x14ac:dyDescent="0.25"/>
    <row r="64442" hidden="1" x14ac:dyDescent="0.25"/>
    <row r="64443" hidden="1" x14ac:dyDescent="0.25"/>
    <row r="64444" hidden="1" x14ac:dyDescent="0.25"/>
    <row r="64445" hidden="1" x14ac:dyDescent="0.25"/>
    <row r="64446" hidden="1" x14ac:dyDescent="0.25"/>
    <row r="64447" hidden="1" x14ac:dyDescent="0.25"/>
    <row r="64448" hidden="1" x14ac:dyDescent="0.25"/>
    <row r="64449" hidden="1" x14ac:dyDescent="0.25"/>
    <row r="64450" hidden="1" x14ac:dyDescent="0.25"/>
    <row r="64451" hidden="1" x14ac:dyDescent="0.25"/>
    <row r="64452" hidden="1" x14ac:dyDescent="0.25"/>
    <row r="64453" hidden="1" x14ac:dyDescent="0.25"/>
    <row r="64454" hidden="1" x14ac:dyDescent="0.25"/>
    <row r="64455" hidden="1" x14ac:dyDescent="0.25"/>
    <row r="64456" hidden="1" x14ac:dyDescent="0.25"/>
    <row r="64457" hidden="1" x14ac:dyDescent="0.25"/>
    <row r="64458" hidden="1" x14ac:dyDescent="0.25"/>
    <row r="64459" hidden="1" x14ac:dyDescent="0.25"/>
    <row r="64460" hidden="1" x14ac:dyDescent="0.25"/>
    <row r="64461" hidden="1" x14ac:dyDescent="0.25"/>
    <row r="64462" hidden="1" x14ac:dyDescent="0.25"/>
    <row r="64463" hidden="1" x14ac:dyDescent="0.25"/>
    <row r="64464" hidden="1" x14ac:dyDescent="0.25"/>
    <row r="64465" hidden="1" x14ac:dyDescent="0.25"/>
    <row r="64466" hidden="1" x14ac:dyDescent="0.25"/>
    <row r="64467" hidden="1" x14ac:dyDescent="0.25"/>
    <row r="64468" hidden="1" x14ac:dyDescent="0.25"/>
    <row r="64469" hidden="1" x14ac:dyDescent="0.25"/>
    <row r="64470" hidden="1" x14ac:dyDescent="0.25"/>
    <row r="64471" hidden="1" x14ac:dyDescent="0.25"/>
    <row r="64472" hidden="1" x14ac:dyDescent="0.25"/>
    <row r="64473" hidden="1" x14ac:dyDescent="0.25"/>
    <row r="64474" hidden="1" x14ac:dyDescent="0.25"/>
    <row r="64475" hidden="1" x14ac:dyDescent="0.25"/>
    <row r="64476" hidden="1" x14ac:dyDescent="0.25"/>
    <row r="64477" hidden="1" x14ac:dyDescent="0.25"/>
    <row r="64478" hidden="1" x14ac:dyDescent="0.25"/>
    <row r="64479" hidden="1" x14ac:dyDescent="0.25"/>
    <row r="64480" hidden="1" x14ac:dyDescent="0.25"/>
    <row r="64481" hidden="1" x14ac:dyDescent="0.25"/>
    <row r="64482" hidden="1" x14ac:dyDescent="0.25"/>
    <row r="64483" hidden="1" x14ac:dyDescent="0.25"/>
    <row r="64484" hidden="1" x14ac:dyDescent="0.25"/>
    <row r="64485" hidden="1" x14ac:dyDescent="0.25"/>
    <row r="64486" hidden="1" x14ac:dyDescent="0.25"/>
    <row r="64487" hidden="1" x14ac:dyDescent="0.25"/>
    <row r="64488" hidden="1" x14ac:dyDescent="0.25"/>
    <row r="64489" hidden="1" x14ac:dyDescent="0.25"/>
    <row r="64490" hidden="1" x14ac:dyDescent="0.25"/>
    <row r="64491" hidden="1" x14ac:dyDescent="0.25"/>
    <row r="64492" hidden="1" x14ac:dyDescent="0.25"/>
    <row r="64493" hidden="1" x14ac:dyDescent="0.25"/>
    <row r="64494" hidden="1" x14ac:dyDescent="0.25"/>
    <row r="64495" hidden="1" x14ac:dyDescent="0.25"/>
    <row r="64496" hidden="1" x14ac:dyDescent="0.25"/>
    <row r="64497" hidden="1" x14ac:dyDescent="0.25"/>
    <row r="64498" hidden="1" x14ac:dyDescent="0.25"/>
    <row r="64499" hidden="1" x14ac:dyDescent="0.25"/>
    <row r="64500" hidden="1" x14ac:dyDescent="0.25"/>
    <row r="64501" hidden="1" x14ac:dyDescent="0.25"/>
    <row r="64502" hidden="1" x14ac:dyDescent="0.25"/>
    <row r="64503" hidden="1" x14ac:dyDescent="0.25"/>
    <row r="64504" hidden="1" x14ac:dyDescent="0.25"/>
    <row r="64505" hidden="1" x14ac:dyDescent="0.25"/>
    <row r="64506" hidden="1" x14ac:dyDescent="0.25"/>
    <row r="64507" hidden="1" x14ac:dyDescent="0.25"/>
    <row r="64508" hidden="1" x14ac:dyDescent="0.25"/>
    <row r="64509" hidden="1" x14ac:dyDescent="0.25"/>
    <row r="64510" hidden="1" x14ac:dyDescent="0.25"/>
    <row r="64511" hidden="1" x14ac:dyDescent="0.25"/>
    <row r="64512" hidden="1" x14ac:dyDescent="0.25"/>
    <row r="64513" hidden="1" x14ac:dyDescent="0.25"/>
    <row r="64514" hidden="1" x14ac:dyDescent="0.25"/>
    <row r="64515" hidden="1" x14ac:dyDescent="0.25"/>
    <row r="64516" hidden="1" x14ac:dyDescent="0.25"/>
    <row r="64517" hidden="1" x14ac:dyDescent="0.25"/>
    <row r="64518" hidden="1" x14ac:dyDescent="0.25"/>
    <row r="64519" hidden="1" x14ac:dyDescent="0.25"/>
    <row r="64520" hidden="1" x14ac:dyDescent="0.25"/>
    <row r="64521" hidden="1" x14ac:dyDescent="0.25"/>
    <row r="64522" hidden="1" x14ac:dyDescent="0.25"/>
    <row r="64523" hidden="1" x14ac:dyDescent="0.25"/>
    <row r="64524" hidden="1" x14ac:dyDescent="0.25"/>
    <row r="64525" hidden="1" x14ac:dyDescent="0.25"/>
    <row r="64526" hidden="1" x14ac:dyDescent="0.25"/>
    <row r="64527" hidden="1" x14ac:dyDescent="0.25"/>
    <row r="64528" hidden="1" x14ac:dyDescent="0.25"/>
    <row r="64529" hidden="1" x14ac:dyDescent="0.25"/>
    <row r="64530" hidden="1" x14ac:dyDescent="0.25"/>
    <row r="64531" hidden="1" x14ac:dyDescent="0.25"/>
    <row r="64532" hidden="1" x14ac:dyDescent="0.25"/>
    <row r="64533" hidden="1" x14ac:dyDescent="0.25"/>
    <row r="64534" hidden="1" x14ac:dyDescent="0.25"/>
    <row r="64535" hidden="1" x14ac:dyDescent="0.25"/>
    <row r="64536" hidden="1" x14ac:dyDescent="0.25"/>
    <row r="64537" hidden="1" x14ac:dyDescent="0.25"/>
    <row r="64538" hidden="1" x14ac:dyDescent="0.25"/>
    <row r="64539" hidden="1" x14ac:dyDescent="0.25"/>
    <row r="64540" hidden="1" x14ac:dyDescent="0.25"/>
    <row r="64541" hidden="1" x14ac:dyDescent="0.25"/>
    <row r="64542" hidden="1" x14ac:dyDescent="0.25"/>
    <row r="64543" hidden="1" x14ac:dyDescent="0.25"/>
    <row r="64544" hidden="1" x14ac:dyDescent="0.25"/>
    <row r="64545" hidden="1" x14ac:dyDescent="0.25"/>
    <row r="64546" hidden="1" x14ac:dyDescent="0.25"/>
    <row r="64547" hidden="1" x14ac:dyDescent="0.25"/>
    <row r="64548" hidden="1" x14ac:dyDescent="0.25"/>
    <row r="64549" hidden="1" x14ac:dyDescent="0.25"/>
    <row r="64550" hidden="1" x14ac:dyDescent="0.25"/>
    <row r="64551" hidden="1" x14ac:dyDescent="0.25"/>
    <row r="64552" hidden="1" x14ac:dyDescent="0.25"/>
    <row r="64553" hidden="1" x14ac:dyDescent="0.25"/>
    <row r="64554" hidden="1" x14ac:dyDescent="0.25"/>
    <row r="64555" hidden="1" x14ac:dyDescent="0.25"/>
    <row r="64556" hidden="1" x14ac:dyDescent="0.25"/>
    <row r="64557" hidden="1" x14ac:dyDescent="0.25"/>
    <row r="64558" hidden="1" x14ac:dyDescent="0.25"/>
    <row r="64559" hidden="1" x14ac:dyDescent="0.25"/>
    <row r="64560" hidden="1" x14ac:dyDescent="0.25"/>
    <row r="64561" hidden="1" x14ac:dyDescent="0.25"/>
    <row r="64562" hidden="1" x14ac:dyDescent="0.25"/>
    <row r="64563" hidden="1" x14ac:dyDescent="0.25"/>
    <row r="64564" hidden="1" x14ac:dyDescent="0.25"/>
    <row r="64565" hidden="1" x14ac:dyDescent="0.25"/>
    <row r="64566" hidden="1" x14ac:dyDescent="0.25"/>
    <row r="64567" hidden="1" x14ac:dyDescent="0.25"/>
    <row r="64568" hidden="1" x14ac:dyDescent="0.25"/>
    <row r="64569" hidden="1" x14ac:dyDescent="0.25"/>
    <row r="64570" hidden="1" x14ac:dyDescent="0.25"/>
    <row r="64571" hidden="1" x14ac:dyDescent="0.25"/>
    <row r="64572" hidden="1" x14ac:dyDescent="0.25"/>
    <row r="64573" hidden="1" x14ac:dyDescent="0.25"/>
    <row r="64574" hidden="1" x14ac:dyDescent="0.25"/>
    <row r="64575" hidden="1" x14ac:dyDescent="0.25"/>
    <row r="64576" hidden="1" x14ac:dyDescent="0.25"/>
    <row r="64577" hidden="1" x14ac:dyDescent="0.25"/>
    <row r="64578" hidden="1" x14ac:dyDescent="0.25"/>
    <row r="64579" hidden="1" x14ac:dyDescent="0.25"/>
    <row r="64580" hidden="1" x14ac:dyDescent="0.25"/>
    <row r="64581" hidden="1" x14ac:dyDescent="0.25"/>
    <row r="64582" hidden="1" x14ac:dyDescent="0.25"/>
    <row r="64583" hidden="1" x14ac:dyDescent="0.25"/>
    <row r="64584" hidden="1" x14ac:dyDescent="0.25"/>
    <row r="64585" hidden="1" x14ac:dyDescent="0.25"/>
    <row r="64586" hidden="1" x14ac:dyDescent="0.25"/>
    <row r="64587" hidden="1" x14ac:dyDescent="0.25"/>
    <row r="64588" hidden="1" x14ac:dyDescent="0.25"/>
    <row r="64589" hidden="1" x14ac:dyDescent="0.25"/>
    <row r="64590" hidden="1" x14ac:dyDescent="0.25"/>
    <row r="64591" hidden="1" x14ac:dyDescent="0.25"/>
    <row r="64592" hidden="1" x14ac:dyDescent="0.25"/>
    <row r="64593" hidden="1" x14ac:dyDescent="0.25"/>
    <row r="64594" hidden="1" x14ac:dyDescent="0.25"/>
    <row r="64595" hidden="1" x14ac:dyDescent="0.25"/>
    <row r="64596" hidden="1" x14ac:dyDescent="0.25"/>
    <row r="64597" hidden="1" x14ac:dyDescent="0.25"/>
    <row r="64598" hidden="1" x14ac:dyDescent="0.25"/>
    <row r="64599" hidden="1" x14ac:dyDescent="0.25"/>
    <row r="64600" hidden="1" x14ac:dyDescent="0.25"/>
    <row r="64601" hidden="1" x14ac:dyDescent="0.25"/>
    <row r="64602" hidden="1" x14ac:dyDescent="0.25"/>
    <row r="64603" hidden="1" x14ac:dyDescent="0.25"/>
    <row r="64604" hidden="1" x14ac:dyDescent="0.25"/>
    <row r="64605" hidden="1" x14ac:dyDescent="0.25"/>
    <row r="64606" hidden="1" x14ac:dyDescent="0.25"/>
    <row r="64607" hidden="1" x14ac:dyDescent="0.25"/>
    <row r="64608" hidden="1" x14ac:dyDescent="0.25"/>
    <row r="64609" hidden="1" x14ac:dyDescent="0.25"/>
    <row r="64610" hidden="1" x14ac:dyDescent="0.25"/>
    <row r="64611" hidden="1" x14ac:dyDescent="0.25"/>
    <row r="64612" hidden="1" x14ac:dyDescent="0.25"/>
    <row r="64613" hidden="1" x14ac:dyDescent="0.25"/>
    <row r="64614" hidden="1" x14ac:dyDescent="0.25"/>
    <row r="64615" hidden="1" x14ac:dyDescent="0.25"/>
    <row r="64616" hidden="1" x14ac:dyDescent="0.25"/>
    <row r="64617" hidden="1" x14ac:dyDescent="0.25"/>
    <row r="64618" hidden="1" x14ac:dyDescent="0.25"/>
    <row r="64619" hidden="1" x14ac:dyDescent="0.25"/>
    <row r="64620" hidden="1" x14ac:dyDescent="0.25"/>
    <row r="64621" hidden="1" x14ac:dyDescent="0.25"/>
    <row r="64622" hidden="1" x14ac:dyDescent="0.25"/>
    <row r="64623" hidden="1" x14ac:dyDescent="0.25"/>
    <row r="64624" hidden="1" x14ac:dyDescent="0.25"/>
    <row r="64625" hidden="1" x14ac:dyDescent="0.25"/>
    <row r="64626" hidden="1" x14ac:dyDescent="0.25"/>
    <row r="64627" hidden="1" x14ac:dyDescent="0.25"/>
    <row r="64628" hidden="1" x14ac:dyDescent="0.25"/>
    <row r="64629" hidden="1" x14ac:dyDescent="0.25"/>
    <row r="64630" hidden="1" x14ac:dyDescent="0.25"/>
    <row r="64631" hidden="1" x14ac:dyDescent="0.25"/>
    <row r="64632" hidden="1" x14ac:dyDescent="0.25"/>
    <row r="64633" hidden="1" x14ac:dyDescent="0.25"/>
    <row r="64634" hidden="1" x14ac:dyDescent="0.25"/>
    <row r="64635" hidden="1" x14ac:dyDescent="0.25"/>
    <row r="64636" hidden="1" x14ac:dyDescent="0.25"/>
    <row r="64637" hidden="1" x14ac:dyDescent="0.25"/>
    <row r="64638" hidden="1" x14ac:dyDescent="0.25"/>
    <row r="64639" hidden="1" x14ac:dyDescent="0.25"/>
    <row r="64640" hidden="1" x14ac:dyDescent="0.25"/>
    <row r="64641" hidden="1" x14ac:dyDescent="0.25"/>
    <row r="64642" hidden="1" x14ac:dyDescent="0.25"/>
    <row r="64643" hidden="1" x14ac:dyDescent="0.25"/>
    <row r="64644" hidden="1" x14ac:dyDescent="0.25"/>
    <row r="64645" hidden="1" x14ac:dyDescent="0.25"/>
    <row r="64646" hidden="1" x14ac:dyDescent="0.25"/>
    <row r="64647" hidden="1" x14ac:dyDescent="0.25"/>
    <row r="64648" hidden="1" x14ac:dyDescent="0.25"/>
    <row r="64649" hidden="1" x14ac:dyDescent="0.25"/>
    <row r="64650" hidden="1" x14ac:dyDescent="0.25"/>
    <row r="64651" hidden="1" x14ac:dyDescent="0.25"/>
    <row r="64652" hidden="1" x14ac:dyDescent="0.25"/>
    <row r="64653" hidden="1" x14ac:dyDescent="0.25"/>
    <row r="64654" hidden="1" x14ac:dyDescent="0.25"/>
    <row r="64655" hidden="1" x14ac:dyDescent="0.25"/>
    <row r="64656" hidden="1" x14ac:dyDescent="0.25"/>
    <row r="64657" hidden="1" x14ac:dyDescent="0.25"/>
    <row r="64658" hidden="1" x14ac:dyDescent="0.25"/>
    <row r="64659" hidden="1" x14ac:dyDescent="0.25"/>
    <row r="64660" hidden="1" x14ac:dyDescent="0.25"/>
    <row r="64661" hidden="1" x14ac:dyDescent="0.25"/>
    <row r="64662" hidden="1" x14ac:dyDescent="0.25"/>
    <row r="64663" hidden="1" x14ac:dyDescent="0.25"/>
    <row r="64664" hidden="1" x14ac:dyDescent="0.25"/>
    <row r="64665" hidden="1" x14ac:dyDescent="0.25"/>
    <row r="64666" hidden="1" x14ac:dyDescent="0.25"/>
    <row r="64667" hidden="1" x14ac:dyDescent="0.25"/>
    <row r="64668" hidden="1" x14ac:dyDescent="0.25"/>
    <row r="64669" hidden="1" x14ac:dyDescent="0.25"/>
    <row r="64670" hidden="1" x14ac:dyDescent="0.25"/>
    <row r="64671" hidden="1" x14ac:dyDescent="0.25"/>
    <row r="64672" hidden="1" x14ac:dyDescent="0.25"/>
    <row r="64673" hidden="1" x14ac:dyDescent="0.25"/>
    <row r="64674" hidden="1" x14ac:dyDescent="0.25"/>
    <row r="64675" hidden="1" x14ac:dyDescent="0.25"/>
    <row r="64676" hidden="1" x14ac:dyDescent="0.25"/>
    <row r="64677" hidden="1" x14ac:dyDescent="0.25"/>
    <row r="64678" hidden="1" x14ac:dyDescent="0.25"/>
    <row r="64679" hidden="1" x14ac:dyDescent="0.25"/>
    <row r="64680" hidden="1" x14ac:dyDescent="0.25"/>
    <row r="64681" hidden="1" x14ac:dyDescent="0.25"/>
    <row r="64682" hidden="1" x14ac:dyDescent="0.25"/>
    <row r="64683" hidden="1" x14ac:dyDescent="0.25"/>
    <row r="64684" hidden="1" x14ac:dyDescent="0.25"/>
    <row r="64685" hidden="1" x14ac:dyDescent="0.25"/>
    <row r="64686" hidden="1" x14ac:dyDescent="0.25"/>
    <row r="64687" hidden="1" x14ac:dyDescent="0.25"/>
    <row r="64688" hidden="1" x14ac:dyDescent="0.25"/>
    <row r="64689" hidden="1" x14ac:dyDescent="0.25"/>
    <row r="64690" hidden="1" x14ac:dyDescent="0.25"/>
    <row r="64691" hidden="1" x14ac:dyDescent="0.25"/>
    <row r="64692" hidden="1" x14ac:dyDescent="0.25"/>
    <row r="64693" hidden="1" x14ac:dyDescent="0.25"/>
    <row r="64694" hidden="1" x14ac:dyDescent="0.25"/>
    <row r="64695" hidden="1" x14ac:dyDescent="0.25"/>
    <row r="64696" hidden="1" x14ac:dyDescent="0.25"/>
    <row r="64697" hidden="1" x14ac:dyDescent="0.25"/>
    <row r="64698" hidden="1" x14ac:dyDescent="0.25"/>
    <row r="64699" hidden="1" x14ac:dyDescent="0.25"/>
    <row r="64700" hidden="1" x14ac:dyDescent="0.25"/>
    <row r="64701" hidden="1" x14ac:dyDescent="0.25"/>
    <row r="64702" hidden="1" x14ac:dyDescent="0.25"/>
    <row r="64703" hidden="1" x14ac:dyDescent="0.25"/>
    <row r="64704" hidden="1" x14ac:dyDescent="0.25"/>
    <row r="64705" hidden="1" x14ac:dyDescent="0.25"/>
    <row r="64706" hidden="1" x14ac:dyDescent="0.25"/>
    <row r="64707" hidden="1" x14ac:dyDescent="0.25"/>
    <row r="64708" hidden="1" x14ac:dyDescent="0.25"/>
    <row r="64709" hidden="1" x14ac:dyDescent="0.25"/>
    <row r="64710" hidden="1" x14ac:dyDescent="0.25"/>
    <row r="64711" hidden="1" x14ac:dyDescent="0.25"/>
    <row r="64712" hidden="1" x14ac:dyDescent="0.25"/>
    <row r="64713" hidden="1" x14ac:dyDescent="0.25"/>
    <row r="64714" hidden="1" x14ac:dyDescent="0.25"/>
    <row r="64715" hidden="1" x14ac:dyDescent="0.25"/>
    <row r="64716" hidden="1" x14ac:dyDescent="0.25"/>
    <row r="64717" hidden="1" x14ac:dyDescent="0.25"/>
    <row r="64718" hidden="1" x14ac:dyDescent="0.25"/>
    <row r="64719" hidden="1" x14ac:dyDescent="0.25"/>
    <row r="64720" hidden="1" x14ac:dyDescent="0.25"/>
    <row r="64721" hidden="1" x14ac:dyDescent="0.25"/>
    <row r="64722" hidden="1" x14ac:dyDescent="0.25"/>
    <row r="64723" hidden="1" x14ac:dyDescent="0.25"/>
    <row r="64724" hidden="1" x14ac:dyDescent="0.25"/>
    <row r="64725" hidden="1" x14ac:dyDescent="0.25"/>
    <row r="64726" hidden="1" x14ac:dyDescent="0.25"/>
    <row r="64727" hidden="1" x14ac:dyDescent="0.25"/>
    <row r="64728" hidden="1" x14ac:dyDescent="0.25"/>
    <row r="64729" hidden="1" x14ac:dyDescent="0.25"/>
    <row r="64730" hidden="1" x14ac:dyDescent="0.25"/>
    <row r="64731" hidden="1" x14ac:dyDescent="0.25"/>
    <row r="64732" hidden="1" x14ac:dyDescent="0.25"/>
    <row r="64733" hidden="1" x14ac:dyDescent="0.25"/>
    <row r="64734" hidden="1" x14ac:dyDescent="0.25"/>
    <row r="64735" hidden="1" x14ac:dyDescent="0.25"/>
    <row r="64736" hidden="1" x14ac:dyDescent="0.25"/>
    <row r="64737" hidden="1" x14ac:dyDescent="0.25"/>
    <row r="64738" hidden="1" x14ac:dyDescent="0.25"/>
    <row r="64739" hidden="1" x14ac:dyDescent="0.25"/>
    <row r="64740" hidden="1" x14ac:dyDescent="0.25"/>
    <row r="64741" hidden="1" x14ac:dyDescent="0.25"/>
    <row r="64742" hidden="1" x14ac:dyDescent="0.25"/>
    <row r="64743" hidden="1" x14ac:dyDescent="0.25"/>
    <row r="64744" hidden="1" x14ac:dyDescent="0.25"/>
    <row r="64745" hidden="1" x14ac:dyDescent="0.25"/>
    <row r="64746" hidden="1" x14ac:dyDescent="0.25"/>
    <row r="64747" hidden="1" x14ac:dyDescent="0.25"/>
    <row r="64748" hidden="1" x14ac:dyDescent="0.25"/>
    <row r="64749" hidden="1" x14ac:dyDescent="0.25"/>
    <row r="64750" hidden="1" x14ac:dyDescent="0.25"/>
    <row r="64751" hidden="1" x14ac:dyDescent="0.25"/>
    <row r="64752" hidden="1" x14ac:dyDescent="0.25"/>
    <row r="64753" hidden="1" x14ac:dyDescent="0.25"/>
    <row r="64754" hidden="1" x14ac:dyDescent="0.25"/>
    <row r="64755" hidden="1" x14ac:dyDescent="0.25"/>
    <row r="64756" hidden="1" x14ac:dyDescent="0.25"/>
    <row r="64757" hidden="1" x14ac:dyDescent="0.25"/>
    <row r="64758" hidden="1" x14ac:dyDescent="0.25"/>
    <row r="64759" hidden="1" x14ac:dyDescent="0.25"/>
    <row r="64760" hidden="1" x14ac:dyDescent="0.25"/>
    <row r="64761" hidden="1" x14ac:dyDescent="0.25"/>
    <row r="64762" hidden="1" x14ac:dyDescent="0.25"/>
    <row r="64763" hidden="1" x14ac:dyDescent="0.25"/>
    <row r="64764" hidden="1" x14ac:dyDescent="0.25"/>
    <row r="64765" hidden="1" x14ac:dyDescent="0.25"/>
    <row r="64766" hidden="1" x14ac:dyDescent="0.25"/>
    <row r="64767" hidden="1" x14ac:dyDescent="0.25"/>
    <row r="64768" hidden="1" x14ac:dyDescent="0.25"/>
    <row r="64769" hidden="1" x14ac:dyDescent="0.25"/>
    <row r="64770" hidden="1" x14ac:dyDescent="0.25"/>
    <row r="64771" hidden="1" x14ac:dyDescent="0.25"/>
    <row r="64772" hidden="1" x14ac:dyDescent="0.25"/>
    <row r="64773" hidden="1" x14ac:dyDescent="0.25"/>
    <row r="64774" hidden="1" x14ac:dyDescent="0.25"/>
    <row r="64775" hidden="1" x14ac:dyDescent="0.25"/>
    <row r="64776" hidden="1" x14ac:dyDescent="0.25"/>
    <row r="64777" hidden="1" x14ac:dyDescent="0.25"/>
    <row r="64778" hidden="1" x14ac:dyDescent="0.25"/>
    <row r="64779" hidden="1" x14ac:dyDescent="0.25"/>
    <row r="64780" hidden="1" x14ac:dyDescent="0.25"/>
    <row r="64781" hidden="1" x14ac:dyDescent="0.25"/>
    <row r="64782" hidden="1" x14ac:dyDescent="0.25"/>
    <row r="64783" hidden="1" x14ac:dyDescent="0.25"/>
    <row r="64784" hidden="1" x14ac:dyDescent="0.25"/>
    <row r="64785" hidden="1" x14ac:dyDescent="0.25"/>
    <row r="64786" hidden="1" x14ac:dyDescent="0.25"/>
    <row r="64787" hidden="1" x14ac:dyDescent="0.25"/>
    <row r="64788" hidden="1" x14ac:dyDescent="0.25"/>
    <row r="64789" hidden="1" x14ac:dyDescent="0.25"/>
    <row r="64790" hidden="1" x14ac:dyDescent="0.25"/>
    <row r="64791" hidden="1" x14ac:dyDescent="0.25"/>
    <row r="64792" hidden="1" x14ac:dyDescent="0.25"/>
    <row r="64793" hidden="1" x14ac:dyDescent="0.25"/>
    <row r="64794" hidden="1" x14ac:dyDescent="0.25"/>
    <row r="64795" hidden="1" x14ac:dyDescent="0.25"/>
    <row r="64796" hidden="1" x14ac:dyDescent="0.25"/>
    <row r="64797" hidden="1" x14ac:dyDescent="0.25"/>
    <row r="64798" hidden="1" x14ac:dyDescent="0.25"/>
    <row r="64799" hidden="1" x14ac:dyDescent="0.25"/>
    <row r="64800" hidden="1" x14ac:dyDescent="0.25"/>
    <row r="64801" hidden="1" x14ac:dyDescent="0.25"/>
    <row r="64802" hidden="1" x14ac:dyDescent="0.25"/>
    <row r="64803" hidden="1" x14ac:dyDescent="0.25"/>
    <row r="64804" hidden="1" x14ac:dyDescent="0.25"/>
    <row r="64805" hidden="1" x14ac:dyDescent="0.25"/>
    <row r="64806" hidden="1" x14ac:dyDescent="0.25"/>
    <row r="64807" hidden="1" x14ac:dyDescent="0.25"/>
    <row r="64808" hidden="1" x14ac:dyDescent="0.25"/>
    <row r="64809" hidden="1" x14ac:dyDescent="0.25"/>
    <row r="64810" hidden="1" x14ac:dyDescent="0.25"/>
    <row r="64811" hidden="1" x14ac:dyDescent="0.25"/>
    <row r="64812" hidden="1" x14ac:dyDescent="0.25"/>
    <row r="64813" hidden="1" x14ac:dyDescent="0.25"/>
    <row r="64814" hidden="1" x14ac:dyDescent="0.25"/>
    <row r="64815" hidden="1" x14ac:dyDescent="0.25"/>
    <row r="64816" hidden="1" x14ac:dyDescent="0.25"/>
    <row r="64817" hidden="1" x14ac:dyDescent="0.25"/>
    <row r="64818" hidden="1" x14ac:dyDescent="0.25"/>
    <row r="64819" hidden="1" x14ac:dyDescent="0.25"/>
    <row r="64820" hidden="1" x14ac:dyDescent="0.25"/>
    <row r="64821" hidden="1" x14ac:dyDescent="0.25"/>
    <row r="64822" hidden="1" x14ac:dyDescent="0.25"/>
    <row r="64823" hidden="1" x14ac:dyDescent="0.25"/>
    <row r="64824" hidden="1" x14ac:dyDescent="0.25"/>
    <row r="64825" hidden="1" x14ac:dyDescent="0.25"/>
    <row r="64826" hidden="1" x14ac:dyDescent="0.25"/>
    <row r="64827" hidden="1" x14ac:dyDescent="0.25"/>
    <row r="64828" hidden="1" x14ac:dyDescent="0.25"/>
    <row r="64829" hidden="1" x14ac:dyDescent="0.25"/>
    <row r="64830" hidden="1" x14ac:dyDescent="0.25"/>
    <row r="64831" hidden="1" x14ac:dyDescent="0.25"/>
    <row r="64832" hidden="1" x14ac:dyDescent="0.25"/>
    <row r="64833" hidden="1" x14ac:dyDescent="0.25"/>
    <row r="64834" hidden="1" x14ac:dyDescent="0.25"/>
    <row r="64835" hidden="1" x14ac:dyDescent="0.25"/>
    <row r="64836" hidden="1" x14ac:dyDescent="0.25"/>
    <row r="64837" hidden="1" x14ac:dyDescent="0.25"/>
    <row r="64838" hidden="1" x14ac:dyDescent="0.25"/>
    <row r="64839" hidden="1" x14ac:dyDescent="0.25"/>
    <row r="64840" hidden="1" x14ac:dyDescent="0.25"/>
    <row r="64841" hidden="1" x14ac:dyDescent="0.25"/>
    <row r="64842" hidden="1" x14ac:dyDescent="0.25"/>
    <row r="64843" hidden="1" x14ac:dyDescent="0.25"/>
    <row r="64844" hidden="1" x14ac:dyDescent="0.25"/>
    <row r="64845" hidden="1" x14ac:dyDescent="0.25"/>
    <row r="64846" hidden="1" x14ac:dyDescent="0.25"/>
    <row r="64847" hidden="1" x14ac:dyDescent="0.25"/>
    <row r="64848" hidden="1" x14ac:dyDescent="0.25"/>
    <row r="64849" hidden="1" x14ac:dyDescent="0.25"/>
    <row r="64850" hidden="1" x14ac:dyDescent="0.25"/>
    <row r="64851" hidden="1" x14ac:dyDescent="0.25"/>
    <row r="64852" hidden="1" x14ac:dyDescent="0.25"/>
    <row r="64853" hidden="1" x14ac:dyDescent="0.25"/>
    <row r="64854" hidden="1" x14ac:dyDescent="0.25"/>
    <row r="64855" hidden="1" x14ac:dyDescent="0.25"/>
    <row r="64856" hidden="1" x14ac:dyDescent="0.25"/>
    <row r="64857" hidden="1" x14ac:dyDescent="0.25"/>
    <row r="64858" hidden="1" x14ac:dyDescent="0.25"/>
    <row r="64859" hidden="1" x14ac:dyDescent="0.25"/>
    <row r="64860" hidden="1" x14ac:dyDescent="0.25"/>
    <row r="64861" hidden="1" x14ac:dyDescent="0.25"/>
    <row r="64862" hidden="1" x14ac:dyDescent="0.25"/>
    <row r="64863" hidden="1" x14ac:dyDescent="0.25"/>
    <row r="64864" hidden="1" x14ac:dyDescent="0.25"/>
    <row r="64865" hidden="1" x14ac:dyDescent="0.25"/>
    <row r="64866" hidden="1" x14ac:dyDescent="0.25"/>
    <row r="64867" hidden="1" x14ac:dyDescent="0.25"/>
    <row r="64868" hidden="1" x14ac:dyDescent="0.25"/>
    <row r="64869" hidden="1" x14ac:dyDescent="0.25"/>
    <row r="64870" hidden="1" x14ac:dyDescent="0.25"/>
    <row r="64871" hidden="1" x14ac:dyDescent="0.25"/>
    <row r="64872" hidden="1" x14ac:dyDescent="0.25"/>
    <row r="64873" hidden="1" x14ac:dyDescent="0.25"/>
    <row r="64874" hidden="1" x14ac:dyDescent="0.25"/>
    <row r="64875" hidden="1" x14ac:dyDescent="0.25"/>
    <row r="64876" hidden="1" x14ac:dyDescent="0.25"/>
    <row r="64877" hidden="1" x14ac:dyDescent="0.25"/>
    <row r="64878" hidden="1" x14ac:dyDescent="0.25"/>
    <row r="64879" hidden="1" x14ac:dyDescent="0.25"/>
    <row r="64880" hidden="1" x14ac:dyDescent="0.25"/>
    <row r="64881" hidden="1" x14ac:dyDescent="0.25"/>
    <row r="64882" hidden="1" x14ac:dyDescent="0.25"/>
    <row r="64883" hidden="1" x14ac:dyDescent="0.25"/>
    <row r="64884" hidden="1" x14ac:dyDescent="0.25"/>
    <row r="64885" hidden="1" x14ac:dyDescent="0.25"/>
    <row r="64886" hidden="1" x14ac:dyDescent="0.25"/>
    <row r="64887" hidden="1" x14ac:dyDescent="0.25"/>
    <row r="64888" hidden="1" x14ac:dyDescent="0.25"/>
    <row r="64889" hidden="1" x14ac:dyDescent="0.25"/>
    <row r="64890" hidden="1" x14ac:dyDescent="0.25"/>
    <row r="64891" hidden="1" x14ac:dyDescent="0.25"/>
    <row r="64892" hidden="1" x14ac:dyDescent="0.25"/>
    <row r="64893" hidden="1" x14ac:dyDescent="0.25"/>
    <row r="64894" hidden="1" x14ac:dyDescent="0.25"/>
    <row r="64895" hidden="1" x14ac:dyDescent="0.25"/>
    <row r="64896" hidden="1" x14ac:dyDescent="0.25"/>
    <row r="64897" hidden="1" x14ac:dyDescent="0.25"/>
    <row r="64898" hidden="1" x14ac:dyDescent="0.25"/>
    <row r="64899" hidden="1" x14ac:dyDescent="0.25"/>
    <row r="64900" hidden="1" x14ac:dyDescent="0.25"/>
    <row r="64901" hidden="1" x14ac:dyDescent="0.25"/>
    <row r="64902" hidden="1" x14ac:dyDescent="0.25"/>
    <row r="64903" hidden="1" x14ac:dyDescent="0.25"/>
    <row r="64904" hidden="1" x14ac:dyDescent="0.25"/>
    <row r="64905" hidden="1" x14ac:dyDescent="0.25"/>
    <row r="64906" hidden="1" x14ac:dyDescent="0.25"/>
    <row r="64907" hidden="1" x14ac:dyDescent="0.25"/>
    <row r="64908" hidden="1" x14ac:dyDescent="0.25"/>
    <row r="64909" hidden="1" x14ac:dyDescent="0.25"/>
    <row r="64910" hidden="1" x14ac:dyDescent="0.25"/>
    <row r="64911" hidden="1" x14ac:dyDescent="0.25"/>
    <row r="64912" hidden="1" x14ac:dyDescent="0.25"/>
    <row r="64913" hidden="1" x14ac:dyDescent="0.25"/>
    <row r="64914" hidden="1" x14ac:dyDescent="0.25"/>
    <row r="64915" hidden="1" x14ac:dyDescent="0.25"/>
    <row r="64916" hidden="1" x14ac:dyDescent="0.25"/>
    <row r="64917" hidden="1" x14ac:dyDescent="0.25"/>
    <row r="64918" hidden="1" x14ac:dyDescent="0.25"/>
    <row r="64919" hidden="1" x14ac:dyDescent="0.25"/>
    <row r="64920" hidden="1" x14ac:dyDescent="0.25"/>
    <row r="64921" hidden="1" x14ac:dyDescent="0.25"/>
    <row r="64922" hidden="1" x14ac:dyDescent="0.25"/>
    <row r="64923" hidden="1" x14ac:dyDescent="0.25"/>
    <row r="64924" hidden="1" x14ac:dyDescent="0.25"/>
    <row r="64925" hidden="1" x14ac:dyDescent="0.25"/>
    <row r="64926" hidden="1" x14ac:dyDescent="0.25"/>
    <row r="64927" hidden="1" x14ac:dyDescent="0.25"/>
    <row r="64928" hidden="1" x14ac:dyDescent="0.25"/>
    <row r="64929" hidden="1" x14ac:dyDescent="0.25"/>
    <row r="64930" hidden="1" x14ac:dyDescent="0.25"/>
    <row r="64931" hidden="1" x14ac:dyDescent="0.25"/>
    <row r="64932" hidden="1" x14ac:dyDescent="0.25"/>
    <row r="64933" hidden="1" x14ac:dyDescent="0.25"/>
    <row r="64934" hidden="1" x14ac:dyDescent="0.25"/>
    <row r="64935" hidden="1" x14ac:dyDescent="0.25"/>
    <row r="64936" hidden="1" x14ac:dyDescent="0.25"/>
    <row r="64937" hidden="1" x14ac:dyDescent="0.25"/>
    <row r="64938" hidden="1" x14ac:dyDescent="0.25"/>
    <row r="64939" hidden="1" x14ac:dyDescent="0.25"/>
    <row r="64940" hidden="1" x14ac:dyDescent="0.25"/>
    <row r="64941" hidden="1" x14ac:dyDescent="0.25"/>
    <row r="64942" hidden="1" x14ac:dyDescent="0.25"/>
    <row r="64943" hidden="1" x14ac:dyDescent="0.25"/>
    <row r="64944" hidden="1" x14ac:dyDescent="0.25"/>
    <row r="64945" hidden="1" x14ac:dyDescent="0.25"/>
    <row r="64946" hidden="1" x14ac:dyDescent="0.25"/>
    <row r="64947" hidden="1" x14ac:dyDescent="0.25"/>
    <row r="64948" hidden="1" x14ac:dyDescent="0.25"/>
    <row r="64949" hidden="1" x14ac:dyDescent="0.25"/>
    <row r="64950" hidden="1" x14ac:dyDescent="0.25"/>
    <row r="64951" hidden="1" x14ac:dyDescent="0.25"/>
    <row r="64952" hidden="1" x14ac:dyDescent="0.25"/>
    <row r="64953" hidden="1" x14ac:dyDescent="0.25"/>
    <row r="64954" hidden="1" x14ac:dyDescent="0.25"/>
    <row r="64955" hidden="1" x14ac:dyDescent="0.25"/>
    <row r="64956" hidden="1" x14ac:dyDescent="0.25"/>
    <row r="64957" hidden="1" x14ac:dyDescent="0.25"/>
    <row r="64958" hidden="1" x14ac:dyDescent="0.25"/>
    <row r="64959" hidden="1" x14ac:dyDescent="0.25"/>
    <row r="64960" hidden="1" x14ac:dyDescent="0.25"/>
    <row r="64961" hidden="1" x14ac:dyDescent="0.25"/>
    <row r="64962" hidden="1" x14ac:dyDescent="0.25"/>
    <row r="64963" hidden="1" x14ac:dyDescent="0.25"/>
    <row r="64964" hidden="1" x14ac:dyDescent="0.25"/>
    <row r="64965" hidden="1" x14ac:dyDescent="0.25"/>
    <row r="64966" hidden="1" x14ac:dyDescent="0.25"/>
    <row r="64967" hidden="1" x14ac:dyDescent="0.25"/>
    <row r="64968" hidden="1" x14ac:dyDescent="0.25"/>
    <row r="64969" hidden="1" x14ac:dyDescent="0.25"/>
    <row r="64970" hidden="1" x14ac:dyDescent="0.25"/>
    <row r="64971" hidden="1" x14ac:dyDescent="0.25"/>
    <row r="64972" hidden="1" x14ac:dyDescent="0.25"/>
    <row r="64973" hidden="1" x14ac:dyDescent="0.25"/>
    <row r="64974" hidden="1" x14ac:dyDescent="0.25"/>
    <row r="64975" hidden="1" x14ac:dyDescent="0.25"/>
    <row r="64976" hidden="1" x14ac:dyDescent="0.25"/>
    <row r="64977" hidden="1" x14ac:dyDescent="0.25"/>
    <row r="64978" hidden="1" x14ac:dyDescent="0.25"/>
    <row r="64979" hidden="1" x14ac:dyDescent="0.25"/>
    <row r="64980" hidden="1" x14ac:dyDescent="0.25"/>
    <row r="64981" hidden="1" x14ac:dyDescent="0.25"/>
    <row r="64982" hidden="1" x14ac:dyDescent="0.25"/>
    <row r="64983" hidden="1" x14ac:dyDescent="0.25"/>
    <row r="64984" hidden="1" x14ac:dyDescent="0.25"/>
    <row r="64985" hidden="1" x14ac:dyDescent="0.25"/>
    <row r="64986" hidden="1" x14ac:dyDescent="0.25"/>
    <row r="64987" hidden="1" x14ac:dyDescent="0.25"/>
    <row r="64988" hidden="1" x14ac:dyDescent="0.25"/>
    <row r="64989" hidden="1" x14ac:dyDescent="0.25"/>
    <row r="64990" hidden="1" x14ac:dyDescent="0.25"/>
    <row r="64991" hidden="1" x14ac:dyDescent="0.25"/>
    <row r="64992" hidden="1" x14ac:dyDescent="0.25"/>
    <row r="64993" hidden="1" x14ac:dyDescent="0.25"/>
    <row r="64994" hidden="1" x14ac:dyDescent="0.25"/>
    <row r="64995" hidden="1" x14ac:dyDescent="0.25"/>
    <row r="64996" hidden="1" x14ac:dyDescent="0.25"/>
    <row r="64997" hidden="1" x14ac:dyDescent="0.25"/>
    <row r="64998" hidden="1" x14ac:dyDescent="0.25"/>
    <row r="64999" hidden="1" x14ac:dyDescent="0.25"/>
    <row r="65000" hidden="1" x14ac:dyDescent="0.25"/>
    <row r="65001" hidden="1" x14ac:dyDescent="0.25"/>
    <row r="65002" hidden="1" x14ac:dyDescent="0.25"/>
    <row r="65003" hidden="1" x14ac:dyDescent="0.25"/>
    <row r="65004" hidden="1" x14ac:dyDescent="0.25"/>
    <row r="65005" hidden="1" x14ac:dyDescent="0.25"/>
    <row r="65006" hidden="1" x14ac:dyDescent="0.25"/>
    <row r="65007" hidden="1" x14ac:dyDescent="0.25"/>
    <row r="65008" hidden="1" x14ac:dyDescent="0.25"/>
    <row r="65009" hidden="1" x14ac:dyDescent="0.25"/>
    <row r="65010" hidden="1" x14ac:dyDescent="0.25"/>
    <row r="65011" hidden="1" x14ac:dyDescent="0.25"/>
    <row r="65012" hidden="1" x14ac:dyDescent="0.25"/>
    <row r="65013" hidden="1" x14ac:dyDescent="0.25"/>
    <row r="65014" hidden="1" x14ac:dyDescent="0.25"/>
    <row r="65015" hidden="1" x14ac:dyDescent="0.25"/>
    <row r="65016" hidden="1" x14ac:dyDescent="0.25"/>
    <row r="65017" hidden="1" x14ac:dyDescent="0.25"/>
    <row r="65018" hidden="1" x14ac:dyDescent="0.25"/>
    <row r="65019" hidden="1" x14ac:dyDescent="0.25"/>
    <row r="65020" hidden="1" x14ac:dyDescent="0.25"/>
    <row r="65021" hidden="1" x14ac:dyDescent="0.25"/>
    <row r="65022" hidden="1" x14ac:dyDescent="0.25"/>
    <row r="65023" hidden="1" x14ac:dyDescent="0.25"/>
    <row r="65024" hidden="1" x14ac:dyDescent="0.25"/>
    <row r="65025" hidden="1" x14ac:dyDescent="0.25"/>
    <row r="65026" hidden="1" x14ac:dyDescent="0.25"/>
    <row r="65027" hidden="1" x14ac:dyDescent="0.25"/>
    <row r="65028" hidden="1" x14ac:dyDescent="0.25"/>
    <row r="65029" hidden="1" x14ac:dyDescent="0.25"/>
    <row r="65030" hidden="1" x14ac:dyDescent="0.25"/>
    <row r="65031" hidden="1" x14ac:dyDescent="0.25"/>
    <row r="65032" hidden="1" x14ac:dyDescent="0.25"/>
    <row r="65033" hidden="1" x14ac:dyDescent="0.25"/>
    <row r="65034" hidden="1" x14ac:dyDescent="0.25"/>
    <row r="65035" hidden="1" x14ac:dyDescent="0.25"/>
    <row r="65036" hidden="1" x14ac:dyDescent="0.25"/>
    <row r="65037" hidden="1" x14ac:dyDescent="0.25"/>
    <row r="65038" hidden="1" x14ac:dyDescent="0.25"/>
    <row r="65039" hidden="1" x14ac:dyDescent="0.25"/>
    <row r="65040" hidden="1" x14ac:dyDescent="0.25"/>
    <row r="65041" hidden="1" x14ac:dyDescent="0.25"/>
    <row r="65042" hidden="1" x14ac:dyDescent="0.25"/>
    <row r="65043" hidden="1" x14ac:dyDescent="0.25"/>
    <row r="65044" hidden="1" x14ac:dyDescent="0.25"/>
    <row r="65045" hidden="1" x14ac:dyDescent="0.25"/>
    <row r="65046" hidden="1" x14ac:dyDescent="0.25"/>
    <row r="65047" hidden="1" x14ac:dyDescent="0.25"/>
    <row r="65048" hidden="1" x14ac:dyDescent="0.25"/>
    <row r="65049" hidden="1" x14ac:dyDescent="0.25"/>
    <row r="65050" hidden="1" x14ac:dyDescent="0.25"/>
    <row r="65051" hidden="1" x14ac:dyDescent="0.25"/>
    <row r="65052" hidden="1" x14ac:dyDescent="0.25"/>
    <row r="65053" hidden="1" x14ac:dyDescent="0.25"/>
    <row r="65054" hidden="1" x14ac:dyDescent="0.25"/>
    <row r="65055" hidden="1" x14ac:dyDescent="0.25"/>
    <row r="65056" hidden="1" x14ac:dyDescent="0.25"/>
    <row r="65057" hidden="1" x14ac:dyDescent="0.25"/>
    <row r="65058" hidden="1" x14ac:dyDescent="0.25"/>
    <row r="65059" hidden="1" x14ac:dyDescent="0.25"/>
    <row r="65060" hidden="1" x14ac:dyDescent="0.25"/>
    <row r="65061" hidden="1" x14ac:dyDescent="0.25"/>
    <row r="65062" hidden="1" x14ac:dyDescent="0.25"/>
    <row r="65063" hidden="1" x14ac:dyDescent="0.25"/>
    <row r="65064" hidden="1" x14ac:dyDescent="0.25"/>
    <row r="65065" hidden="1" x14ac:dyDescent="0.25"/>
    <row r="65066" hidden="1" x14ac:dyDescent="0.25"/>
    <row r="65067" hidden="1" x14ac:dyDescent="0.25"/>
    <row r="65068" hidden="1" x14ac:dyDescent="0.25"/>
    <row r="65069" hidden="1" x14ac:dyDescent="0.25"/>
    <row r="65070" hidden="1" x14ac:dyDescent="0.25"/>
    <row r="65071" hidden="1" x14ac:dyDescent="0.25"/>
    <row r="65072" hidden="1" x14ac:dyDescent="0.25"/>
    <row r="65073" hidden="1" x14ac:dyDescent="0.25"/>
    <row r="65074" hidden="1" x14ac:dyDescent="0.25"/>
    <row r="65075" hidden="1" x14ac:dyDescent="0.25"/>
    <row r="65076" hidden="1" x14ac:dyDescent="0.25"/>
    <row r="65077" hidden="1" x14ac:dyDescent="0.25"/>
    <row r="65078" hidden="1" x14ac:dyDescent="0.25"/>
    <row r="65079" hidden="1" x14ac:dyDescent="0.25"/>
    <row r="65080" hidden="1" x14ac:dyDescent="0.25"/>
    <row r="65081" hidden="1" x14ac:dyDescent="0.25"/>
    <row r="65082" hidden="1" x14ac:dyDescent="0.25"/>
    <row r="65083" hidden="1" x14ac:dyDescent="0.25"/>
    <row r="65084" hidden="1" x14ac:dyDescent="0.25"/>
    <row r="65085" hidden="1" x14ac:dyDescent="0.25"/>
    <row r="65086" hidden="1" x14ac:dyDescent="0.25"/>
    <row r="65087" hidden="1" x14ac:dyDescent="0.25"/>
    <row r="65088" hidden="1" x14ac:dyDescent="0.25"/>
    <row r="65089" hidden="1" x14ac:dyDescent="0.25"/>
    <row r="65090" hidden="1" x14ac:dyDescent="0.25"/>
    <row r="65091" hidden="1" x14ac:dyDescent="0.25"/>
    <row r="65092" hidden="1" x14ac:dyDescent="0.25"/>
    <row r="65093" hidden="1" x14ac:dyDescent="0.25"/>
    <row r="65094" hidden="1" x14ac:dyDescent="0.25"/>
    <row r="65095" hidden="1" x14ac:dyDescent="0.25"/>
    <row r="65096" hidden="1" x14ac:dyDescent="0.25"/>
    <row r="65097" hidden="1" x14ac:dyDescent="0.25"/>
    <row r="65098" hidden="1" x14ac:dyDescent="0.25"/>
    <row r="65099" hidden="1" x14ac:dyDescent="0.25"/>
    <row r="65100" hidden="1" x14ac:dyDescent="0.25"/>
    <row r="65101" hidden="1" x14ac:dyDescent="0.25"/>
    <row r="65102" hidden="1" x14ac:dyDescent="0.25"/>
    <row r="65103" hidden="1" x14ac:dyDescent="0.25"/>
    <row r="65104" hidden="1" x14ac:dyDescent="0.25"/>
    <row r="65105" hidden="1" x14ac:dyDescent="0.25"/>
    <row r="65106" hidden="1" x14ac:dyDescent="0.25"/>
    <row r="65107" hidden="1" x14ac:dyDescent="0.25"/>
    <row r="65108" hidden="1" x14ac:dyDescent="0.25"/>
    <row r="65109" hidden="1" x14ac:dyDescent="0.25"/>
    <row r="65110" hidden="1" x14ac:dyDescent="0.25"/>
    <row r="65111" hidden="1" x14ac:dyDescent="0.25"/>
    <row r="65112" hidden="1" x14ac:dyDescent="0.25"/>
    <row r="65113" hidden="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idden="1" x14ac:dyDescent="0.25"/>
    <row r="65122" hidden="1" x14ac:dyDescent="0.25"/>
    <row r="65123" hidden="1" x14ac:dyDescent="0.25"/>
    <row r="65124" hidden="1" x14ac:dyDescent="0.25"/>
    <row r="65125" hidden="1" x14ac:dyDescent="0.25"/>
    <row r="65126" hidden="1" x14ac:dyDescent="0.25"/>
    <row r="65127" hidden="1" x14ac:dyDescent="0.25"/>
    <row r="65128" hidden="1" x14ac:dyDescent="0.25"/>
    <row r="65129" hidden="1" x14ac:dyDescent="0.25"/>
    <row r="65130" hidden="1" x14ac:dyDescent="0.25"/>
    <row r="65131" hidden="1" x14ac:dyDescent="0.25"/>
    <row r="65132" hidden="1" x14ac:dyDescent="0.25"/>
    <row r="65133" hidden="1" x14ac:dyDescent="0.25"/>
    <row r="65134" hidden="1" x14ac:dyDescent="0.25"/>
    <row r="65135" hidden="1" x14ac:dyDescent="0.25"/>
    <row r="65136" hidden="1" x14ac:dyDescent="0.25"/>
    <row r="65137" hidden="1" x14ac:dyDescent="0.25"/>
    <row r="65138" hidden="1" x14ac:dyDescent="0.25"/>
    <row r="65139" hidden="1" x14ac:dyDescent="0.25"/>
    <row r="65140" hidden="1" x14ac:dyDescent="0.25"/>
    <row r="65141" hidden="1" x14ac:dyDescent="0.25"/>
    <row r="65142" hidden="1" x14ac:dyDescent="0.25"/>
    <row r="65143" hidden="1" x14ac:dyDescent="0.25"/>
    <row r="65144" hidden="1" x14ac:dyDescent="0.25"/>
    <row r="65145" hidden="1" x14ac:dyDescent="0.25"/>
    <row r="65146" hidden="1" x14ac:dyDescent="0.25"/>
    <row r="65147" hidden="1" x14ac:dyDescent="0.25"/>
    <row r="65148" hidden="1" x14ac:dyDescent="0.25"/>
    <row r="65149" hidden="1" x14ac:dyDescent="0.25"/>
    <row r="65150" hidden="1" x14ac:dyDescent="0.25"/>
    <row r="65151" hidden="1" x14ac:dyDescent="0.25"/>
    <row r="65152" hidden="1" x14ac:dyDescent="0.25"/>
    <row r="65153" hidden="1" x14ac:dyDescent="0.25"/>
    <row r="65154" hidden="1" x14ac:dyDescent="0.25"/>
    <row r="65155" hidden="1" x14ac:dyDescent="0.25"/>
    <row r="65156" hidden="1" x14ac:dyDescent="0.25"/>
    <row r="65157" hidden="1" x14ac:dyDescent="0.25"/>
    <row r="65158" hidden="1" x14ac:dyDescent="0.25"/>
    <row r="65159" hidden="1" x14ac:dyDescent="0.25"/>
    <row r="65160" hidden="1" x14ac:dyDescent="0.25"/>
    <row r="65161" hidden="1" x14ac:dyDescent="0.25"/>
    <row r="65162" hidden="1" x14ac:dyDescent="0.25"/>
    <row r="65163" hidden="1" x14ac:dyDescent="0.25"/>
    <row r="65164" hidden="1" x14ac:dyDescent="0.25"/>
    <row r="65165" hidden="1" x14ac:dyDescent="0.25"/>
    <row r="65166" hidden="1" x14ac:dyDescent="0.25"/>
    <row r="65167" hidden="1" x14ac:dyDescent="0.25"/>
    <row r="65168" hidden="1" x14ac:dyDescent="0.25"/>
    <row r="65169" hidden="1" x14ac:dyDescent="0.25"/>
    <row r="65170" hidden="1" x14ac:dyDescent="0.25"/>
    <row r="65171" hidden="1" x14ac:dyDescent="0.25"/>
    <row r="65172" hidden="1" x14ac:dyDescent="0.25"/>
    <row r="65173" hidden="1" x14ac:dyDescent="0.25"/>
    <row r="65174" hidden="1" x14ac:dyDescent="0.25"/>
    <row r="65175" hidden="1" x14ac:dyDescent="0.25"/>
    <row r="65176" hidden="1" x14ac:dyDescent="0.25"/>
    <row r="65177" hidden="1" x14ac:dyDescent="0.25"/>
    <row r="65178" hidden="1" x14ac:dyDescent="0.25"/>
    <row r="65179" hidden="1" x14ac:dyDescent="0.25"/>
    <row r="65180" hidden="1" x14ac:dyDescent="0.25"/>
    <row r="65181" hidden="1" x14ac:dyDescent="0.25"/>
    <row r="65182" hidden="1" x14ac:dyDescent="0.25"/>
    <row r="65183" hidden="1" x14ac:dyDescent="0.25"/>
    <row r="65184" hidden="1" x14ac:dyDescent="0.25"/>
    <row r="65185" hidden="1" x14ac:dyDescent="0.25"/>
    <row r="65186" hidden="1" x14ac:dyDescent="0.25"/>
    <row r="65187" hidden="1" x14ac:dyDescent="0.25"/>
    <row r="65188" hidden="1" x14ac:dyDescent="0.25"/>
    <row r="65189" hidden="1" x14ac:dyDescent="0.25"/>
    <row r="65190" hidden="1" x14ac:dyDescent="0.25"/>
    <row r="65191" hidden="1" x14ac:dyDescent="0.25"/>
    <row r="65192" hidden="1" x14ac:dyDescent="0.25"/>
    <row r="65193" hidden="1" x14ac:dyDescent="0.25"/>
    <row r="65194" hidden="1" x14ac:dyDescent="0.25"/>
    <row r="65195" hidden="1" x14ac:dyDescent="0.25"/>
    <row r="65196" hidden="1" x14ac:dyDescent="0.25"/>
    <row r="65197" hidden="1" x14ac:dyDescent="0.25"/>
    <row r="65198" hidden="1" x14ac:dyDescent="0.25"/>
    <row r="65199" hidden="1" x14ac:dyDescent="0.25"/>
    <row r="65200" hidden="1" x14ac:dyDescent="0.25"/>
    <row r="65201" hidden="1" x14ac:dyDescent="0.25"/>
    <row r="65202" hidden="1" x14ac:dyDescent="0.25"/>
    <row r="65203" hidden="1" x14ac:dyDescent="0.25"/>
    <row r="65204" hidden="1" x14ac:dyDescent="0.25"/>
    <row r="65205" hidden="1" x14ac:dyDescent="0.25"/>
    <row r="65206" hidden="1" x14ac:dyDescent="0.25"/>
    <row r="65207" hidden="1" x14ac:dyDescent="0.25"/>
    <row r="65208" hidden="1" x14ac:dyDescent="0.25"/>
    <row r="65209" hidden="1" x14ac:dyDescent="0.25"/>
    <row r="65210" hidden="1" x14ac:dyDescent="0.25"/>
    <row r="65211" hidden="1" x14ac:dyDescent="0.25"/>
    <row r="65212" hidden="1" x14ac:dyDescent="0.25"/>
    <row r="65213" hidden="1" x14ac:dyDescent="0.25"/>
    <row r="65214" hidden="1" x14ac:dyDescent="0.25"/>
    <row r="65215" hidden="1" x14ac:dyDescent="0.25"/>
    <row r="65216" hidden="1" x14ac:dyDescent="0.25"/>
    <row r="65217" hidden="1" x14ac:dyDescent="0.25"/>
    <row r="65218" hidden="1" x14ac:dyDescent="0.25"/>
    <row r="65219" hidden="1" x14ac:dyDescent="0.25"/>
    <row r="65220" hidden="1" x14ac:dyDescent="0.25"/>
    <row r="65221" hidden="1" x14ac:dyDescent="0.25"/>
    <row r="65222" hidden="1" x14ac:dyDescent="0.25"/>
    <row r="65223" hidden="1" x14ac:dyDescent="0.25"/>
    <row r="65224" hidden="1" x14ac:dyDescent="0.25"/>
    <row r="65225" hidden="1" x14ac:dyDescent="0.25"/>
    <row r="65226" hidden="1" x14ac:dyDescent="0.25"/>
    <row r="65227" hidden="1" x14ac:dyDescent="0.25"/>
    <row r="65228" hidden="1" x14ac:dyDescent="0.25"/>
    <row r="65229" hidden="1" x14ac:dyDescent="0.25"/>
    <row r="65230" hidden="1" x14ac:dyDescent="0.25"/>
    <row r="65231" hidden="1" x14ac:dyDescent="0.25"/>
    <row r="65232" hidden="1" x14ac:dyDescent="0.25"/>
    <row r="65233" hidden="1" x14ac:dyDescent="0.25"/>
    <row r="65234" hidden="1" x14ac:dyDescent="0.25"/>
    <row r="65235" hidden="1" x14ac:dyDescent="0.25"/>
    <row r="65236" hidden="1" x14ac:dyDescent="0.25"/>
    <row r="65237" hidden="1" x14ac:dyDescent="0.25"/>
    <row r="65238" hidden="1" x14ac:dyDescent="0.25"/>
    <row r="65239" hidden="1" x14ac:dyDescent="0.25"/>
    <row r="65240" hidden="1" x14ac:dyDescent="0.25"/>
    <row r="65241" hidden="1" x14ac:dyDescent="0.25"/>
    <row r="65242" hidden="1" x14ac:dyDescent="0.25"/>
    <row r="65243" hidden="1" x14ac:dyDescent="0.25"/>
    <row r="65244" hidden="1" x14ac:dyDescent="0.25"/>
    <row r="65245" hidden="1" x14ac:dyDescent="0.25"/>
    <row r="65246" hidden="1" x14ac:dyDescent="0.25"/>
    <row r="65247" hidden="1" x14ac:dyDescent="0.25"/>
    <row r="65248" hidden="1" x14ac:dyDescent="0.25"/>
    <row r="65249" hidden="1" x14ac:dyDescent="0.25"/>
    <row r="65250" hidden="1" x14ac:dyDescent="0.25"/>
    <row r="65251" hidden="1" x14ac:dyDescent="0.25"/>
    <row r="65252" hidden="1" x14ac:dyDescent="0.25"/>
    <row r="65253" hidden="1" x14ac:dyDescent="0.25"/>
    <row r="65254" hidden="1" x14ac:dyDescent="0.25"/>
    <row r="65255" hidden="1" x14ac:dyDescent="0.25"/>
    <row r="65256" hidden="1" x14ac:dyDescent="0.25"/>
    <row r="65257" hidden="1" x14ac:dyDescent="0.25"/>
    <row r="65258" hidden="1" x14ac:dyDescent="0.25"/>
    <row r="65259" hidden="1" x14ac:dyDescent="0.25"/>
    <row r="65260" hidden="1" x14ac:dyDescent="0.25"/>
    <row r="65261" hidden="1" x14ac:dyDescent="0.25"/>
    <row r="65262" hidden="1" x14ac:dyDescent="0.25"/>
    <row r="65263" hidden="1" x14ac:dyDescent="0.25"/>
    <row r="65264" hidden="1" x14ac:dyDescent="0.25"/>
    <row r="65265" hidden="1" x14ac:dyDescent="0.25"/>
    <row r="65266" hidden="1" x14ac:dyDescent="0.25"/>
    <row r="65267" hidden="1" x14ac:dyDescent="0.25"/>
    <row r="65268" hidden="1" x14ac:dyDescent="0.25"/>
    <row r="65269" hidden="1" x14ac:dyDescent="0.25"/>
    <row r="65270" hidden="1" x14ac:dyDescent="0.25"/>
    <row r="65271" hidden="1" x14ac:dyDescent="0.25"/>
    <row r="65272" hidden="1" x14ac:dyDescent="0.25"/>
    <row r="65273" hidden="1" x14ac:dyDescent="0.25"/>
    <row r="65274" hidden="1" x14ac:dyDescent="0.25"/>
    <row r="65275" hidden="1" x14ac:dyDescent="0.25"/>
    <row r="65276" hidden="1" x14ac:dyDescent="0.25"/>
    <row r="65277" hidden="1" x14ac:dyDescent="0.25"/>
    <row r="65278" hidden="1" x14ac:dyDescent="0.25"/>
    <row r="65279" hidden="1" x14ac:dyDescent="0.25"/>
    <row r="65280" hidden="1" x14ac:dyDescent="0.25"/>
    <row r="65281" hidden="1" x14ac:dyDescent="0.25"/>
    <row r="65282" hidden="1" x14ac:dyDescent="0.25"/>
    <row r="65283" hidden="1" x14ac:dyDescent="0.25"/>
    <row r="65284" hidden="1" x14ac:dyDescent="0.25"/>
    <row r="65285" hidden="1" x14ac:dyDescent="0.25"/>
    <row r="65286" hidden="1" x14ac:dyDescent="0.25"/>
    <row r="65287" hidden="1" x14ac:dyDescent="0.25"/>
    <row r="65288" hidden="1" x14ac:dyDescent="0.25"/>
    <row r="65289" hidden="1" x14ac:dyDescent="0.25"/>
    <row r="65290" hidden="1" x14ac:dyDescent="0.25"/>
    <row r="65291" hidden="1" x14ac:dyDescent="0.25"/>
    <row r="65292" hidden="1" x14ac:dyDescent="0.25"/>
    <row r="65293" hidden="1" x14ac:dyDescent="0.25"/>
    <row r="65294" hidden="1" x14ac:dyDescent="0.25"/>
    <row r="65295" hidden="1" x14ac:dyDescent="0.25"/>
    <row r="65296" hidden="1" x14ac:dyDescent="0.25"/>
    <row r="65297" hidden="1" x14ac:dyDescent="0.25"/>
    <row r="65298" hidden="1" x14ac:dyDescent="0.25"/>
    <row r="65299" hidden="1" x14ac:dyDescent="0.25"/>
    <row r="65300" hidden="1" x14ac:dyDescent="0.25"/>
    <row r="65301" hidden="1" x14ac:dyDescent="0.25"/>
    <row r="65302" hidden="1" x14ac:dyDescent="0.25"/>
    <row r="65303" hidden="1" x14ac:dyDescent="0.25"/>
    <row r="65304" hidden="1" x14ac:dyDescent="0.25"/>
    <row r="65305" hidden="1" x14ac:dyDescent="0.25"/>
    <row r="65306" hidden="1" x14ac:dyDescent="0.25"/>
    <row r="65307" hidden="1" x14ac:dyDescent="0.25"/>
    <row r="65308" hidden="1" x14ac:dyDescent="0.25"/>
    <row r="65309" hidden="1" x14ac:dyDescent="0.25"/>
    <row r="65310" hidden="1" x14ac:dyDescent="0.25"/>
    <row r="65311" hidden="1" x14ac:dyDescent="0.25"/>
    <row r="65312" hidden="1" x14ac:dyDescent="0.25"/>
    <row r="65313" hidden="1" x14ac:dyDescent="0.25"/>
    <row r="65314" hidden="1" x14ac:dyDescent="0.25"/>
    <row r="65315" hidden="1" x14ac:dyDescent="0.25"/>
    <row r="65316" hidden="1" x14ac:dyDescent="0.25"/>
    <row r="65317" hidden="1" x14ac:dyDescent="0.25"/>
    <row r="65318" hidden="1" x14ac:dyDescent="0.25"/>
    <row r="65319" hidden="1" x14ac:dyDescent="0.25"/>
    <row r="65320" hidden="1" x14ac:dyDescent="0.25"/>
    <row r="65321" hidden="1" x14ac:dyDescent="0.25"/>
    <row r="65322" hidden="1" x14ac:dyDescent="0.25"/>
    <row r="65323" hidden="1" x14ac:dyDescent="0.25"/>
    <row r="65324" hidden="1" x14ac:dyDescent="0.25"/>
    <row r="65325" hidden="1" x14ac:dyDescent="0.25"/>
    <row r="65326" hidden="1" x14ac:dyDescent="0.25"/>
    <row r="65327" hidden="1" x14ac:dyDescent="0.25"/>
    <row r="65328" hidden="1" x14ac:dyDescent="0.25"/>
    <row r="65329" hidden="1" x14ac:dyDescent="0.25"/>
    <row r="65330" hidden="1" x14ac:dyDescent="0.25"/>
    <row r="65331" hidden="1" x14ac:dyDescent="0.25"/>
    <row r="65332" hidden="1" x14ac:dyDescent="0.25"/>
    <row r="65333" hidden="1" x14ac:dyDescent="0.25"/>
    <row r="65334" hidden="1" x14ac:dyDescent="0.25"/>
    <row r="65335" hidden="1" x14ac:dyDescent="0.25"/>
    <row r="65336" hidden="1" x14ac:dyDescent="0.25"/>
    <row r="65337" hidden="1" x14ac:dyDescent="0.25"/>
    <row r="65338" hidden="1" x14ac:dyDescent="0.25"/>
    <row r="65339" hidden="1" x14ac:dyDescent="0.25"/>
    <row r="65340" hidden="1" x14ac:dyDescent="0.25"/>
    <row r="65341" hidden="1" x14ac:dyDescent="0.25"/>
    <row r="65342" hidden="1" x14ac:dyDescent="0.25"/>
    <row r="65343" hidden="1" x14ac:dyDescent="0.25"/>
    <row r="65344" hidden="1" x14ac:dyDescent="0.25"/>
    <row r="65345" hidden="1" x14ac:dyDescent="0.25"/>
    <row r="65346" hidden="1" x14ac:dyDescent="0.25"/>
    <row r="65347" hidden="1" x14ac:dyDescent="0.25"/>
    <row r="65348" hidden="1" x14ac:dyDescent="0.25"/>
    <row r="65349" hidden="1" x14ac:dyDescent="0.25"/>
    <row r="65350" hidden="1" x14ac:dyDescent="0.25"/>
    <row r="65351" hidden="1" x14ac:dyDescent="0.25"/>
    <row r="65352" hidden="1" x14ac:dyDescent="0.25"/>
    <row r="65353" hidden="1" x14ac:dyDescent="0.25"/>
    <row r="65354" hidden="1" x14ac:dyDescent="0.25"/>
    <row r="65355" hidden="1" x14ac:dyDescent="0.25"/>
    <row r="65356" hidden="1" x14ac:dyDescent="0.25"/>
    <row r="65357" hidden="1" x14ac:dyDescent="0.25"/>
    <row r="65358" hidden="1" x14ac:dyDescent="0.25"/>
    <row r="65359" hidden="1" x14ac:dyDescent="0.25"/>
    <row r="65360" hidden="1" x14ac:dyDescent="0.25"/>
    <row r="65361" hidden="1" x14ac:dyDescent="0.25"/>
    <row r="65362" hidden="1" x14ac:dyDescent="0.25"/>
    <row r="65363" hidden="1" x14ac:dyDescent="0.25"/>
    <row r="65364" hidden="1" x14ac:dyDescent="0.25"/>
    <row r="65365" hidden="1" x14ac:dyDescent="0.25"/>
    <row r="65366" hidden="1" x14ac:dyDescent="0.25"/>
    <row r="65367" hidden="1" x14ac:dyDescent="0.25"/>
    <row r="65368" hidden="1" x14ac:dyDescent="0.25"/>
    <row r="65369" hidden="1" x14ac:dyDescent="0.25"/>
    <row r="65370" hidden="1" x14ac:dyDescent="0.25"/>
    <row r="65371" hidden="1" x14ac:dyDescent="0.25"/>
    <row r="65372" hidden="1" x14ac:dyDescent="0.25"/>
    <row r="65373" hidden="1" x14ac:dyDescent="0.25"/>
    <row r="65374" hidden="1" x14ac:dyDescent="0.25"/>
    <row r="65375" hidden="1" x14ac:dyDescent="0.25"/>
    <row r="65376" hidden="1" x14ac:dyDescent="0.25"/>
    <row r="65377" hidden="1" x14ac:dyDescent="0.25"/>
    <row r="65378" hidden="1" x14ac:dyDescent="0.25"/>
    <row r="65379" hidden="1" x14ac:dyDescent="0.25"/>
    <row r="65380" hidden="1" x14ac:dyDescent="0.25"/>
    <row r="65381" hidden="1" x14ac:dyDescent="0.25"/>
    <row r="65382" hidden="1" x14ac:dyDescent="0.25"/>
    <row r="65383" hidden="1" x14ac:dyDescent="0.25"/>
    <row r="65384" hidden="1" x14ac:dyDescent="0.25"/>
    <row r="65385" hidden="1" x14ac:dyDescent="0.25"/>
    <row r="65386" hidden="1" x14ac:dyDescent="0.25"/>
    <row r="65387" hidden="1" x14ac:dyDescent="0.25"/>
    <row r="65388" hidden="1" x14ac:dyDescent="0.25"/>
    <row r="65389" hidden="1" x14ac:dyDescent="0.25"/>
    <row r="65390" hidden="1" x14ac:dyDescent="0.25"/>
    <row r="65391" hidden="1" x14ac:dyDescent="0.25"/>
    <row r="65392" hidden="1" x14ac:dyDescent="0.25"/>
    <row r="65393" hidden="1" x14ac:dyDescent="0.25"/>
    <row r="65394" hidden="1" x14ac:dyDescent="0.25"/>
    <row r="65395" hidden="1" x14ac:dyDescent="0.25"/>
    <row r="65396" hidden="1" x14ac:dyDescent="0.25"/>
    <row r="65397" hidden="1" x14ac:dyDescent="0.25"/>
    <row r="65398" hidden="1" x14ac:dyDescent="0.25"/>
    <row r="65399" hidden="1" x14ac:dyDescent="0.25"/>
    <row r="65400" hidden="1" x14ac:dyDescent="0.25"/>
    <row r="65401" hidden="1" x14ac:dyDescent="0.25"/>
    <row r="65402" hidden="1" x14ac:dyDescent="0.25"/>
    <row r="65403" hidden="1" x14ac:dyDescent="0.25"/>
    <row r="65404" hidden="1" x14ac:dyDescent="0.25"/>
    <row r="65405" hidden="1" x14ac:dyDescent="0.25"/>
    <row r="65406" hidden="1" x14ac:dyDescent="0.25"/>
    <row r="65407" hidden="1" x14ac:dyDescent="0.25"/>
    <row r="65408" hidden="1" x14ac:dyDescent="0.25"/>
    <row r="65409" hidden="1" x14ac:dyDescent="0.25"/>
    <row r="65410" hidden="1" x14ac:dyDescent="0.25"/>
    <row r="65411" hidden="1" x14ac:dyDescent="0.25"/>
    <row r="65412" hidden="1" x14ac:dyDescent="0.25"/>
    <row r="65413" hidden="1" x14ac:dyDescent="0.25"/>
    <row r="65414" hidden="1" x14ac:dyDescent="0.25"/>
    <row r="65415" hidden="1" x14ac:dyDescent="0.25"/>
    <row r="65416" hidden="1" x14ac:dyDescent="0.25"/>
    <row r="65417" hidden="1" x14ac:dyDescent="0.25"/>
    <row r="65418" hidden="1" x14ac:dyDescent="0.25"/>
    <row r="65419" hidden="1" x14ac:dyDescent="0.25"/>
    <row r="65420" hidden="1" x14ac:dyDescent="0.25"/>
    <row r="65421" hidden="1" x14ac:dyDescent="0.25"/>
    <row r="65422" hidden="1" x14ac:dyDescent="0.25"/>
    <row r="65423" hidden="1" x14ac:dyDescent="0.25"/>
    <row r="65424" hidden="1" x14ac:dyDescent="0.25"/>
    <row r="65425" hidden="1" x14ac:dyDescent="0.25"/>
    <row r="65426" hidden="1" x14ac:dyDescent="0.25"/>
    <row r="65427" hidden="1" x14ac:dyDescent="0.25"/>
    <row r="65428" hidden="1" x14ac:dyDescent="0.25"/>
    <row r="65429" hidden="1" x14ac:dyDescent="0.25"/>
    <row r="65430" hidden="1" x14ac:dyDescent="0.25"/>
    <row r="65431" hidden="1" x14ac:dyDescent="0.25"/>
    <row r="65432" hidden="1" x14ac:dyDescent="0.25"/>
    <row r="65433" hidden="1" x14ac:dyDescent="0.25"/>
    <row r="65434" hidden="1" x14ac:dyDescent="0.25"/>
    <row r="65435" hidden="1" x14ac:dyDescent="0.25"/>
    <row r="65436" hidden="1" x14ac:dyDescent="0.25"/>
    <row r="65437" hidden="1" x14ac:dyDescent="0.25"/>
    <row r="65438" hidden="1" x14ac:dyDescent="0.25"/>
    <row r="65439" hidden="1" x14ac:dyDescent="0.25"/>
    <row r="65440" hidden="1" x14ac:dyDescent="0.25"/>
    <row r="65441" hidden="1" x14ac:dyDescent="0.25"/>
    <row r="65442" hidden="1" x14ac:dyDescent="0.25"/>
    <row r="65443" hidden="1" x14ac:dyDescent="0.25"/>
    <row r="65444" hidden="1" x14ac:dyDescent="0.25"/>
    <row r="65445" hidden="1" x14ac:dyDescent="0.25"/>
    <row r="65446" hidden="1" x14ac:dyDescent="0.25"/>
    <row r="65447" hidden="1" x14ac:dyDescent="0.25"/>
    <row r="65448" hidden="1" x14ac:dyDescent="0.25"/>
    <row r="65449" hidden="1" x14ac:dyDescent="0.25"/>
    <row r="65450" hidden="1" x14ac:dyDescent="0.25"/>
    <row r="65451" hidden="1" x14ac:dyDescent="0.25"/>
    <row r="65452" hidden="1" x14ac:dyDescent="0.25"/>
    <row r="65453" hidden="1" x14ac:dyDescent="0.25"/>
    <row r="65454" hidden="1" x14ac:dyDescent="0.25"/>
    <row r="65455" hidden="1" x14ac:dyDescent="0.25"/>
    <row r="65456" hidden="1" x14ac:dyDescent="0.25"/>
    <row r="65457" hidden="1" x14ac:dyDescent="0.25"/>
    <row r="65458" hidden="1" x14ac:dyDescent="0.25"/>
    <row r="65459" hidden="1" x14ac:dyDescent="0.25"/>
    <row r="65460" hidden="1" x14ac:dyDescent="0.25"/>
    <row r="65461" hidden="1" x14ac:dyDescent="0.25"/>
    <row r="65462" hidden="1" x14ac:dyDescent="0.25"/>
    <row r="65463" hidden="1" x14ac:dyDescent="0.25"/>
    <row r="65464" hidden="1" x14ac:dyDescent="0.25"/>
    <row r="65465" hidden="1" x14ac:dyDescent="0.25"/>
    <row r="65466" hidden="1" x14ac:dyDescent="0.25"/>
    <row r="65467" hidden="1" x14ac:dyDescent="0.25"/>
    <row r="65468" hidden="1" x14ac:dyDescent="0.25"/>
    <row r="65469" hidden="1" x14ac:dyDescent="0.25"/>
    <row r="65470" hidden="1" x14ac:dyDescent="0.25"/>
    <row r="65471" hidden="1" x14ac:dyDescent="0.25"/>
    <row r="65472" hidden="1" x14ac:dyDescent="0.25"/>
    <row r="65473" hidden="1" x14ac:dyDescent="0.25"/>
    <row r="65474" hidden="1" x14ac:dyDescent="0.25"/>
    <row r="65475" hidden="1" x14ac:dyDescent="0.25"/>
    <row r="65476" hidden="1" x14ac:dyDescent="0.25"/>
    <row r="65477" hidden="1" x14ac:dyDescent="0.25"/>
    <row r="65478" hidden="1" x14ac:dyDescent="0.25"/>
    <row r="65479" hidden="1" x14ac:dyDescent="0.25"/>
    <row r="65480" hidden="1" x14ac:dyDescent="0.25"/>
    <row r="65481" hidden="1" x14ac:dyDescent="0.25"/>
    <row r="65482" hidden="1" x14ac:dyDescent="0.25"/>
    <row r="65483" hidden="1" x14ac:dyDescent="0.25"/>
    <row r="65484" hidden="1" x14ac:dyDescent="0.25"/>
    <row r="65485" hidden="1" x14ac:dyDescent="0.25"/>
    <row r="65486" hidden="1" x14ac:dyDescent="0.25"/>
    <row r="65487" hidden="1" x14ac:dyDescent="0.25"/>
    <row r="65488" hidden="1" x14ac:dyDescent="0.25"/>
    <row r="65489" hidden="1" x14ac:dyDescent="0.25"/>
    <row r="65490" hidden="1" x14ac:dyDescent="0.25"/>
    <row r="65491" hidden="1" x14ac:dyDescent="0.25"/>
    <row r="65492" hidden="1" x14ac:dyDescent="0.25"/>
    <row r="65493" hidden="1" x14ac:dyDescent="0.25"/>
    <row r="65494" hidden="1" x14ac:dyDescent="0.25"/>
    <row r="65495" hidden="1" x14ac:dyDescent="0.25"/>
    <row r="65496" hidden="1" x14ac:dyDescent="0.25"/>
    <row r="65497" hidden="1" x14ac:dyDescent="0.25"/>
    <row r="65498" hidden="1" x14ac:dyDescent="0.25"/>
    <row r="65499" hidden="1" x14ac:dyDescent="0.25"/>
    <row r="65500" hidden="1" x14ac:dyDescent="0.25"/>
    <row r="65501" hidden="1" x14ac:dyDescent="0.25"/>
    <row r="65502" hidden="1" x14ac:dyDescent="0.25"/>
    <row r="65503" hidden="1" x14ac:dyDescent="0.25"/>
    <row r="65504" hidden="1" x14ac:dyDescent="0.25"/>
    <row r="65505" hidden="1" x14ac:dyDescent="0.25"/>
    <row r="65506" hidden="1" x14ac:dyDescent="0.25"/>
    <row r="65507" hidden="1" x14ac:dyDescent="0.25"/>
    <row r="65508" hidden="1" x14ac:dyDescent="0.25"/>
    <row r="65509" hidden="1" x14ac:dyDescent="0.25"/>
    <row r="65510" hidden="1" x14ac:dyDescent="0.25"/>
    <row r="65511" hidden="1" x14ac:dyDescent="0.25"/>
    <row r="65512" hidden="1" x14ac:dyDescent="0.25"/>
    <row r="65513" hidden="1" x14ac:dyDescent="0.25"/>
    <row r="65514" hidden="1" x14ac:dyDescent="0.25"/>
    <row r="65515" hidden="1" x14ac:dyDescent="0.25"/>
    <row r="65516" hidden="1" x14ac:dyDescent="0.25"/>
    <row r="65517" hidden="1" x14ac:dyDescent="0.25"/>
    <row r="65518" hidden="1" x14ac:dyDescent="0.25"/>
    <row r="65519" hidden="1" x14ac:dyDescent="0.25"/>
    <row r="65520" hidden="1" x14ac:dyDescent="0.25"/>
    <row r="65521" hidden="1" x14ac:dyDescent="0.25"/>
    <row r="65522" hidden="1" x14ac:dyDescent="0.25"/>
    <row r="65523" hidden="1" x14ac:dyDescent="0.25"/>
    <row r="65524" hidden="1" x14ac:dyDescent="0.25"/>
    <row r="65525" hidden="1" x14ac:dyDescent="0.25"/>
    <row r="65526" hidden="1" x14ac:dyDescent="0.25"/>
    <row r="65527" hidden="1" x14ac:dyDescent="0.25"/>
    <row r="65528" hidden="1" x14ac:dyDescent="0.25"/>
    <row r="65529" hidden="1" x14ac:dyDescent="0.25"/>
    <row r="65530" hidden="1" x14ac:dyDescent="0.25"/>
    <row r="65531" hidden="1" x14ac:dyDescent="0.25"/>
    <row r="65532" hidden="1" x14ac:dyDescent="0.25"/>
    <row r="65533" hidden="1" x14ac:dyDescent="0.25"/>
    <row r="65534" hidden="1" x14ac:dyDescent="0.25"/>
    <row r="65535" hidden="1" x14ac:dyDescent="0.25"/>
    <row r="65536" hidden="1" x14ac:dyDescent="0.25"/>
    <row r="65537" hidden="1" x14ac:dyDescent="0.25"/>
    <row r="65538" hidden="1" x14ac:dyDescent="0.25"/>
    <row r="65539" hidden="1" x14ac:dyDescent="0.25"/>
    <row r="65540" hidden="1" x14ac:dyDescent="0.25"/>
    <row r="65541" hidden="1" x14ac:dyDescent="0.25"/>
    <row r="65542" hidden="1" x14ac:dyDescent="0.25"/>
    <row r="65543" hidden="1" x14ac:dyDescent="0.25"/>
    <row r="65544" hidden="1" x14ac:dyDescent="0.25"/>
    <row r="65545" hidden="1" x14ac:dyDescent="0.25"/>
    <row r="65546" hidden="1" x14ac:dyDescent="0.25"/>
    <row r="65547" hidden="1" x14ac:dyDescent="0.25"/>
    <row r="65548" hidden="1" x14ac:dyDescent="0.25"/>
    <row r="65549" hidden="1" x14ac:dyDescent="0.25"/>
    <row r="65550" hidden="1" x14ac:dyDescent="0.25"/>
    <row r="65551" hidden="1" x14ac:dyDescent="0.25"/>
    <row r="65552" hidden="1" x14ac:dyDescent="0.25"/>
    <row r="65553" hidden="1" x14ac:dyDescent="0.25"/>
    <row r="65554" hidden="1" x14ac:dyDescent="0.25"/>
    <row r="65555" hidden="1" x14ac:dyDescent="0.25"/>
    <row r="65556" hidden="1" x14ac:dyDescent="0.25"/>
    <row r="65557" hidden="1" x14ac:dyDescent="0.25"/>
    <row r="65558" hidden="1" x14ac:dyDescent="0.25"/>
    <row r="65559" hidden="1" x14ac:dyDescent="0.25"/>
    <row r="65560" hidden="1" x14ac:dyDescent="0.25"/>
    <row r="65561" hidden="1" x14ac:dyDescent="0.25"/>
    <row r="65562" hidden="1" x14ac:dyDescent="0.25"/>
    <row r="65563" hidden="1" x14ac:dyDescent="0.25"/>
    <row r="65564" hidden="1" x14ac:dyDescent="0.25"/>
    <row r="65565" hidden="1" x14ac:dyDescent="0.25"/>
    <row r="65566" hidden="1" x14ac:dyDescent="0.25"/>
    <row r="65567" hidden="1" x14ac:dyDescent="0.25"/>
    <row r="65568" hidden="1" x14ac:dyDescent="0.25"/>
    <row r="65569" hidden="1" x14ac:dyDescent="0.25"/>
    <row r="65570" hidden="1" x14ac:dyDescent="0.25"/>
    <row r="65571" hidden="1" x14ac:dyDescent="0.25"/>
    <row r="65572" hidden="1" x14ac:dyDescent="0.25"/>
    <row r="65573" hidden="1" x14ac:dyDescent="0.25"/>
    <row r="65574" hidden="1" x14ac:dyDescent="0.25"/>
    <row r="65575" hidden="1" x14ac:dyDescent="0.25"/>
    <row r="65576" hidden="1" x14ac:dyDescent="0.25"/>
    <row r="65577" hidden="1" x14ac:dyDescent="0.25"/>
    <row r="65578" hidden="1" x14ac:dyDescent="0.25"/>
    <row r="65579" hidden="1" x14ac:dyDescent="0.25"/>
    <row r="65580" hidden="1" x14ac:dyDescent="0.25"/>
    <row r="65581" hidden="1" x14ac:dyDescent="0.25"/>
    <row r="65582" hidden="1" x14ac:dyDescent="0.25"/>
    <row r="65583" hidden="1" x14ac:dyDescent="0.25"/>
    <row r="65584" hidden="1" x14ac:dyDescent="0.25"/>
    <row r="65585" hidden="1" x14ac:dyDescent="0.25"/>
    <row r="65586" hidden="1" x14ac:dyDescent="0.25"/>
    <row r="65587" hidden="1" x14ac:dyDescent="0.25"/>
    <row r="65588" hidden="1" x14ac:dyDescent="0.25"/>
    <row r="65589" hidden="1" x14ac:dyDescent="0.25"/>
    <row r="65590" hidden="1" x14ac:dyDescent="0.25"/>
    <row r="65591" hidden="1" x14ac:dyDescent="0.25"/>
    <row r="65592" hidden="1" x14ac:dyDescent="0.25"/>
    <row r="65593" hidden="1" x14ac:dyDescent="0.25"/>
    <row r="65594" hidden="1" x14ac:dyDescent="0.25"/>
    <row r="65595" hidden="1" x14ac:dyDescent="0.25"/>
    <row r="65596" hidden="1" x14ac:dyDescent="0.25"/>
    <row r="65597" hidden="1" x14ac:dyDescent="0.25"/>
    <row r="65598" hidden="1" x14ac:dyDescent="0.25"/>
    <row r="65599" hidden="1" x14ac:dyDescent="0.25"/>
    <row r="65600" hidden="1" x14ac:dyDescent="0.25"/>
    <row r="65601" hidden="1" x14ac:dyDescent="0.25"/>
    <row r="65602" hidden="1" x14ac:dyDescent="0.25"/>
    <row r="65603" hidden="1" x14ac:dyDescent="0.25"/>
    <row r="65604" hidden="1" x14ac:dyDescent="0.25"/>
    <row r="65605" hidden="1" x14ac:dyDescent="0.25"/>
    <row r="65606" hidden="1" x14ac:dyDescent="0.25"/>
    <row r="65607" hidden="1" x14ac:dyDescent="0.25"/>
    <row r="65608" hidden="1" x14ac:dyDescent="0.25"/>
    <row r="65609" hidden="1" x14ac:dyDescent="0.25"/>
    <row r="65610" hidden="1" x14ac:dyDescent="0.25"/>
    <row r="65611" hidden="1" x14ac:dyDescent="0.25"/>
    <row r="65612" hidden="1" x14ac:dyDescent="0.25"/>
    <row r="65613" hidden="1" x14ac:dyDescent="0.25"/>
    <row r="65614" hidden="1" x14ac:dyDescent="0.25"/>
    <row r="65615" hidden="1" x14ac:dyDescent="0.25"/>
    <row r="65616" hidden="1" x14ac:dyDescent="0.25"/>
    <row r="65617" hidden="1" x14ac:dyDescent="0.25"/>
    <row r="65618" hidden="1" x14ac:dyDescent="0.25"/>
  </sheetData>
  <sheetProtection password="94AB" sheet="1" objects="1" scenarios="1" selectLockedCells="1"/>
  <mergeCells count="3">
    <mergeCell ref="A1:H1"/>
    <mergeCell ref="A5:G5"/>
    <mergeCell ref="A8:H8"/>
  </mergeCells>
  <dataValidations xWindow="14903" yWindow="63964" count="9">
    <dataValidation type="decimal" allowBlank="1" showInputMessage="1" showErrorMessage="1" errorTitle="Data Error:" error="Please enter positive numeric value of length less than or equal to 15 digit." promptTitle="Numeric:" prompt="Enter numeric value of length less than or equal to 15 digit." sqref="G3:G4 G10:G11 D10:D11">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A6">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6">
      <formula1>50</formula1>
      <formula2>0</formula2>
    </dataValidation>
    <dataValidation type="list" allowBlank="1" showInputMessage="1" showErrorMessage="1" errorTitle="Data Error:" error="Please select data from DropDown Only." promptTitle="List:" prompt="Select data from DropDown List." sqref="D3:E4">
      <formula1>OtherYear</formula1>
      <formula2>0</formula2>
    </dataValidation>
    <dataValidation type="list" allowBlank="1" showInputMessage="1" showErrorMessage="1" errorTitle="Data Error:" error="Please select data from DropDown Only." promptTitle="List:" prompt="Select data from DropDown List." sqref="C3:C4">
      <formula1>MonthList</formula1>
      <formula2>0</formula2>
    </dataValidation>
    <dataValidation type="decimal" allowBlank="1" showInputMessage="1" showErrorMessage="1" errorTitle="Data Error:" error="Please enter positive numeric value of length less than or equal to 3 digit." promptTitle="Numeric:" prompt="Enter numeric value of length less than or equal to 3 digit." sqref="F3:F4">
      <formula1>0</formula1>
      <formula2>999</formula2>
    </dataValidation>
    <dataValidation operator="greaterThanOrEqual" allowBlank="1" showErrorMessage="1" sqref="J3:J4">
      <formula1>0</formula1>
      <formula2>0</formula2>
    </dataValidation>
    <dataValidation type="textLength" allowBlank="1" errorTitle="Data Error:" error="Please enter PIN in proper format.  " promptTitle="Alphanumeric:" prompt="Enter 11 digit alphanumeric values for PIN. " sqref="A10:A11">
      <formula1>11</formula1>
      <formula2>11</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workbookViewId="0">
      <selection activeCell="B3" sqref="B3"/>
    </sheetView>
  </sheetViews>
  <sheetFormatPr defaultColWidth="0" defaultRowHeight="15" zeroHeight="1" x14ac:dyDescent="0.25"/>
  <cols>
    <col min="1" max="11" width="27.7109375" style="33" customWidth="1"/>
    <col min="12" max="12" width="14.28515625" style="33" customWidth="1"/>
    <col min="13" max="16384" width="0" style="33" hidden="1"/>
  </cols>
  <sheetData>
    <row r="1" spans="1:12" ht="33.75" customHeight="1" x14ac:dyDescent="0.25">
      <c r="A1" s="232" t="s">
        <v>810</v>
      </c>
      <c r="B1" s="232"/>
      <c r="C1" s="232"/>
      <c r="D1" s="232"/>
      <c r="E1" s="232"/>
      <c r="F1" s="232"/>
      <c r="G1" s="232"/>
      <c r="H1" s="232"/>
      <c r="I1" s="232"/>
      <c r="J1" s="232"/>
      <c r="K1" s="232"/>
      <c r="L1" s="39"/>
    </row>
    <row r="2" spans="1:12" ht="49.5" x14ac:dyDescent="0.25">
      <c r="A2" s="55" t="s">
        <v>407</v>
      </c>
      <c r="B2" s="55" t="s">
        <v>408</v>
      </c>
      <c r="C2" s="55" t="s">
        <v>465</v>
      </c>
      <c r="D2" s="55" t="s">
        <v>466</v>
      </c>
      <c r="E2" s="55" t="s">
        <v>467</v>
      </c>
      <c r="F2" s="55" t="s">
        <v>468</v>
      </c>
      <c r="G2" s="55" t="s">
        <v>937</v>
      </c>
      <c r="H2" s="55" t="s">
        <v>938</v>
      </c>
      <c r="I2" s="55" t="s">
        <v>939</v>
      </c>
      <c r="J2" s="55" t="s">
        <v>940</v>
      </c>
      <c r="K2" s="55" t="s">
        <v>941</v>
      </c>
      <c r="L2" s="39"/>
    </row>
    <row r="3" spans="1:12" ht="15.75" x14ac:dyDescent="0.25">
      <c r="A3" s="72" t="s">
        <v>961</v>
      </c>
      <c r="B3" s="72"/>
      <c r="C3" s="98"/>
      <c r="D3" s="99"/>
      <c r="E3" s="99"/>
      <c r="F3" s="125"/>
      <c r="G3" s="58" t="str">
        <f>IF(E3&lt;&gt;"",E3*F3/100,"")</f>
        <v/>
      </c>
      <c r="H3" s="125"/>
      <c r="I3" s="58" t="str">
        <f>IF(E3&lt;&gt;"",E3*H3/100,"")</f>
        <v/>
      </c>
      <c r="J3" s="48" t="str">
        <f>IF(G3&lt;&gt;"",IF(I3&lt;&gt;"",IF(ROUND(I3,2)-ROUND(G3,2)&lt;0,0,ROUND(I3,2)-ROUND(G3,2)),""),"")</f>
        <v/>
      </c>
      <c r="K3" s="58" t="str">
        <f>IF(J3&lt;&gt;"",J3*30/100,"")</f>
        <v/>
      </c>
      <c r="L3" s="39"/>
    </row>
    <row r="4" spans="1:12" ht="15.75" x14ac:dyDescent="0.25">
      <c r="A4" s="76"/>
      <c r="B4" s="76"/>
      <c r="C4" s="100"/>
      <c r="D4" s="99"/>
      <c r="E4" s="101"/>
      <c r="F4" s="126"/>
      <c r="G4" s="57" t="str">
        <f>IF(E4&lt;&gt;"",E4*F4/100,"")</f>
        <v/>
      </c>
      <c r="H4" s="126"/>
      <c r="I4" s="58" t="str">
        <f>IF(E4&lt;&gt;"",E4*H4/100,"")</f>
        <v/>
      </c>
      <c r="J4" s="48" t="str">
        <f>IF(G4&lt;&gt;"",IF(I4&lt;&gt;"",IF(ROUND(I4,2)-ROUND(G4,2)&lt;0,0,ROUND(I4,2)-ROUND(G4,2)),""),"")</f>
        <v/>
      </c>
      <c r="K4" s="58" t="str">
        <f>IF(J4&lt;&gt;"",J4*30/100,"")</f>
        <v/>
      </c>
      <c r="L4" s="39"/>
    </row>
    <row r="5" spans="1:12" ht="18" customHeight="1" x14ac:dyDescent="0.3">
      <c r="A5" s="225" t="s">
        <v>897</v>
      </c>
      <c r="B5" s="225"/>
      <c r="C5" s="225"/>
      <c r="D5" s="225"/>
      <c r="E5" s="225"/>
      <c r="F5" s="225"/>
      <c r="G5" s="225"/>
      <c r="H5" s="225"/>
      <c r="I5" s="225"/>
      <c r="J5" s="225"/>
      <c r="K5" s="88">
        <f ca="1">SUM(K3:OFFSET(FringeBenfTaxCalcListTO,-1,0))</f>
        <v>0</v>
      </c>
      <c r="L5" s="39"/>
    </row>
    <row r="6" spans="1:12" ht="37.5" customHeight="1" x14ac:dyDescent="0.25">
      <c r="A6" s="39"/>
      <c r="B6" s="39"/>
      <c r="C6" s="39"/>
      <c r="D6" s="39"/>
      <c r="E6" s="39"/>
      <c r="F6" s="39"/>
      <c r="G6" s="39"/>
      <c r="H6" s="39"/>
      <c r="I6" s="39"/>
      <c r="J6" s="39"/>
      <c r="K6" s="39"/>
      <c r="L6" s="39"/>
    </row>
    <row r="7" spans="1:12" ht="37.5" customHeight="1" x14ac:dyDescent="0.25">
      <c r="A7" s="39"/>
      <c r="B7" s="39"/>
      <c r="C7" s="39"/>
      <c r="D7" s="39"/>
      <c r="E7" s="39"/>
      <c r="F7" s="39"/>
      <c r="G7" s="39"/>
      <c r="H7" s="39"/>
      <c r="I7" s="39"/>
      <c r="J7" s="39"/>
      <c r="K7" s="39"/>
      <c r="L7" s="39"/>
    </row>
  </sheetData>
  <sheetProtection password="94AB" sheet="1" objects="1" scenarios="1" selectLockedCells="1"/>
  <mergeCells count="2">
    <mergeCell ref="A1:K1"/>
    <mergeCell ref="A5:J5"/>
  </mergeCells>
  <dataValidations xWindow="61636" yWindow="30172"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6"/>
  <sheetViews>
    <sheetView workbookViewId="0">
      <selection activeCell="A4" sqref="A4"/>
    </sheetView>
  </sheetViews>
  <sheetFormatPr defaultColWidth="0" defaultRowHeight="15" zeroHeight="1" x14ac:dyDescent="0.25"/>
  <cols>
    <col min="1" max="3" width="27.7109375" customWidth="1"/>
    <col min="4" max="4" width="14.28515625" customWidth="1"/>
  </cols>
  <sheetData>
    <row r="1" spans="1:4" ht="33.75" customHeight="1" x14ac:dyDescent="0.25">
      <c r="A1" s="232" t="s">
        <v>495</v>
      </c>
      <c r="B1" s="232"/>
      <c r="C1" s="232"/>
      <c r="D1" s="102"/>
    </row>
    <row r="2" spans="1:4" ht="21" customHeight="1" x14ac:dyDescent="0.25">
      <c r="A2" s="244" t="s">
        <v>504</v>
      </c>
      <c r="B2" s="244"/>
      <c r="C2" s="244"/>
      <c r="D2" s="102"/>
    </row>
    <row r="3" spans="1:4" ht="33" x14ac:dyDescent="0.25">
      <c r="A3" s="55" t="s">
        <v>846</v>
      </c>
      <c r="B3" s="55" t="s">
        <v>847</v>
      </c>
      <c r="C3" s="55" t="s">
        <v>942</v>
      </c>
      <c r="D3" s="102"/>
    </row>
    <row r="4" spans="1:4" ht="16.5" customHeight="1" x14ac:dyDescent="0.25">
      <c r="A4" s="103"/>
      <c r="B4" s="38"/>
      <c r="C4" s="99"/>
      <c r="D4" s="102" t="str">
        <f>(IF(A4&lt;&gt;"","INCMADV",""))</f>
        <v/>
      </c>
    </row>
    <row r="5" spans="1:4" ht="16.5" customHeight="1" x14ac:dyDescent="0.25">
      <c r="A5" s="103"/>
      <c r="B5" s="38"/>
      <c r="C5" s="99"/>
      <c r="D5" s="102" t="str">
        <f>(IF(A5&lt;&gt;"","INCMADV",""))</f>
        <v/>
      </c>
    </row>
    <row r="6" spans="1:4" ht="16.5" customHeight="1" x14ac:dyDescent="0.3">
      <c r="A6" s="243" t="s">
        <v>897</v>
      </c>
      <c r="B6" s="243"/>
      <c r="C6" s="88">
        <f ca="1">ROUND(SUM(C4:OFFSET(DtlsPayeTaxPaidAdvListTO,-1,0)),2)</f>
        <v>0</v>
      </c>
      <c r="D6" s="102"/>
    </row>
    <row r="7" spans="1:4" ht="37.5" customHeight="1" x14ac:dyDescent="0.25">
      <c r="A7" s="102"/>
      <c r="B7" s="102"/>
      <c r="C7" s="102"/>
      <c r="D7" s="102"/>
    </row>
    <row r="8" spans="1:4" ht="21" customHeight="1" x14ac:dyDescent="0.25">
      <c r="A8" s="244" t="s">
        <v>501</v>
      </c>
      <c r="B8" s="244"/>
      <c r="C8" s="244"/>
      <c r="D8" s="102"/>
    </row>
    <row r="9" spans="1:4" ht="33" customHeight="1" x14ac:dyDescent="0.25">
      <c r="A9" s="55" t="s">
        <v>846</v>
      </c>
      <c r="B9" s="55" t="s">
        <v>847</v>
      </c>
      <c r="C9" s="55" t="s">
        <v>942</v>
      </c>
      <c r="D9" s="102"/>
    </row>
    <row r="10" spans="1:4" ht="16.5" customHeight="1" x14ac:dyDescent="0.25">
      <c r="A10" s="103" t="s">
        <v>961</v>
      </c>
      <c r="B10" s="38"/>
      <c r="C10" s="99"/>
      <c r="D10" s="102" t="str">
        <f>(IF(A10&lt;&gt;"","SFASPMT",""))</f>
        <v/>
      </c>
    </row>
    <row r="11" spans="1:4" ht="16.5" customHeight="1" x14ac:dyDescent="0.25">
      <c r="A11" s="103"/>
      <c r="B11" s="38"/>
      <c r="C11" s="99"/>
      <c r="D11" s="102" t="str">
        <f>(IF(A11&lt;&gt;"","SFASPMT",""))</f>
        <v/>
      </c>
    </row>
    <row r="12" spans="1:4" ht="16.5" customHeight="1" x14ac:dyDescent="0.3">
      <c r="A12" s="243" t="s">
        <v>897</v>
      </c>
      <c r="B12" s="243"/>
      <c r="C12" s="88">
        <f ca="1">ROUND(SUM(C10:OFFSET(DtlsPayeSelfAssTaxListTO,-1,0)),2)</f>
        <v>0</v>
      </c>
      <c r="D12" s="102"/>
    </row>
    <row r="13" spans="1:4" ht="16.5" customHeight="1" x14ac:dyDescent="0.3">
      <c r="A13" s="243" t="s">
        <v>943</v>
      </c>
      <c r="B13" s="243"/>
      <c r="C13" s="88">
        <f ca="1">ROUND(SUM(DtlsPayeTaxPaidAdvListTO,DtlsPayeSelfAssTaxListTO),2)</f>
        <v>0</v>
      </c>
      <c r="D13" s="102"/>
    </row>
    <row r="14" spans="1:4" ht="37.5" customHeight="1" x14ac:dyDescent="0.25">
      <c r="A14" s="102"/>
      <c r="B14" s="102"/>
      <c r="C14" s="102"/>
      <c r="D14" s="102"/>
    </row>
    <row r="15" spans="1:4" ht="37.5" customHeight="1" x14ac:dyDescent="0.25">
      <c r="A15" s="102"/>
      <c r="B15" s="102"/>
      <c r="C15" s="102"/>
      <c r="D15" s="102"/>
    </row>
    <row r="16" spans="1:4" hidden="1" x14ac:dyDescent="0.25"/>
  </sheetData>
  <sheetProtection password="94AB" sheet="1" objects="1" scenarios="1" selectLockedCells="1"/>
  <mergeCells count="6">
    <mergeCell ref="A13:B13"/>
    <mergeCell ref="A1:C1"/>
    <mergeCell ref="A2:C2"/>
    <mergeCell ref="A6:B6"/>
    <mergeCell ref="A8:C8"/>
    <mergeCell ref="A12:B12"/>
  </mergeCells>
  <dataValidations xWindow="5973" yWindow="145" count="5">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A6 A12">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formula1>1</formula1>
      <formula2>999999999999999</formula2>
    </dataValidation>
    <dataValidation type="textLength" allowBlank="1" showInputMessage="1" showErrorMessage="1" errorTitle="Data Error:" error="Please enter date value in dd/mm/yyyy format." promptTitle="Date:" prompt="Enter date value in dd/mm/yyyy format." sqref="B10:B12 B4:B6">
      <formula1>0</formula1>
      <formula2>10</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formula1>20</formula1>
      <formula2>0</formula2>
    </dataValidation>
    <dataValidation allowBlank="1" sqref="A13:B13">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7"/>
  <sheetViews>
    <sheetView topLeftCell="A17" workbookViewId="0">
      <selection activeCell="C12" sqref="C12"/>
    </sheetView>
  </sheetViews>
  <sheetFormatPr defaultColWidth="0" defaultRowHeight="15" zeroHeight="1" x14ac:dyDescent="0.25"/>
  <cols>
    <col min="1" max="1" width="8.5703125" style="33" customWidth="1"/>
    <col min="2" max="2" width="81.28515625" style="33" customWidth="1"/>
    <col min="3" max="3" width="27.7109375" style="33" customWidth="1"/>
    <col min="4" max="4" width="14.28515625" style="33" customWidth="1"/>
    <col min="5" max="16384" width="0" style="33" hidden="1"/>
  </cols>
  <sheetData>
    <row r="1" spans="1:4" ht="31.5" customHeight="1" x14ac:dyDescent="0.25">
      <c r="A1" s="240" t="s">
        <v>493</v>
      </c>
      <c r="B1" s="240"/>
      <c r="C1" s="240"/>
      <c r="D1" s="39"/>
    </row>
    <row r="2" spans="1:4" ht="21" customHeight="1" x14ac:dyDescent="0.25">
      <c r="A2" s="104" t="s">
        <v>20</v>
      </c>
      <c r="B2" s="105" t="s">
        <v>944</v>
      </c>
      <c r="C2" s="106" t="s">
        <v>945</v>
      </c>
      <c r="D2" s="39"/>
    </row>
    <row r="3" spans="1:4" ht="31.5" x14ac:dyDescent="0.25">
      <c r="A3" s="107">
        <v>1</v>
      </c>
      <c r="B3" s="108" t="s">
        <v>946</v>
      </c>
      <c r="C3" s="109">
        <f>ROUND(ROWS(SalDedDsbEmpPIN)-COUNTBLANK(SalDedDsbEmpPIN)+ROWS(SalDedEmpPIN)-COUNTBLANK(SalDedEmpPIN),2)</f>
        <v>0</v>
      </c>
      <c r="D3" s="39"/>
    </row>
    <row r="4" spans="1:4" ht="31.5" x14ac:dyDescent="0.25">
      <c r="A4" s="107">
        <v>2</v>
      </c>
      <c r="B4" s="108" t="s">
        <v>947</v>
      </c>
      <c r="C4" s="110">
        <f ca="1">ROUND(DtlsSalPdBftsSelfPayTaxListTO,2)</f>
        <v>0</v>
      </c>
      <c r="D4" s="39"/>
    </row>
    <row r="5" spans="1:4" ht="31.5" x14ac:dyDescent="0.25">
      <c r="A5" s="107">
        <v>3</v>
      </c>
      <c r="B5" s="108" t="s">
        <v>948</v>
      </c>
      <c r="C5" s="110">
        <f ca="1">ROUND(DtlsSalPdBftsSelfPayTaxDEListTO,2)</f>
        <v>0</v>
      </c>
      <c r="D5" s="39"/>
    </row>
    <row r="6" spans="1:4" ht="31.5" x14ac:dyDescent="0.25">
      <c r="A6" s="107">
        <v>4</v>
      </c>
      <c r="B6" s="108" t="s">
        <v>949</v>
      </c>
      <c r="C6" s="110">
        <f ca="1">ROUND(TaxPdOnLumpSumPdAftrTrmtnListTO,2)</f>
        <v>0</v>
      </c>
      <c r="D6" s="39"/>
    </row>
    <row r="7" spans="1:4" ht="31.5" x14ac:dyDescent="0.25">
      <c r="A7" s="107">
        <v>5</v>
      </c>
      <c r="B7" s="108" t="s">
        <v>950</v>
      </c>
      <c r="C7" s="110">
        <f ca="1">ROUND(DtlsSalPdArrearDEListTO,2)</f>
        <v>0</v>
      </c>
      <c r="D7" s="39"/>
    </row>
    <row r="8" spans="1:4" ht="31.5" x14ac:dyDescent="0.25">
      <c r="A8" s="107">
        <v>6</v>
      </c>
      <c r="B8" s="108" t="s">
        <v>951</v>
      </c>
      <c r="C8" s="48">
        <f ca="1">ROUND(DtlsArrSalPdBftsPayeSelfPayeListTO,2)</f>
        <v>0</v>
      </c>
      <c r="D8" s="39"/>
    </row>
    <row r="9" spans="1:4" ht="31.5" x14ac:dyDescent="0.25">
      <c r="A9" s="107">
        <v>7</v>
      </c>
      <c r="B9" s="108" t="s">
        <v>952</v>
      </c>
      <c r="C9" s="48">
        <f ca="1">ROUND(CalPayeTaxPyblOnGratIListTO,2)</f>
        <v>0</v>
      </c>
      <c r="D9" s="39"/>
    </row>
    <row r="10" spans="1:4" ht="31.5" x14ac:dyDescent="0.25">
      <c r="A10" s="107">
        <v>8</v>
      </c>
      <c r="B10" s="108" t="s">
        <v>953</v>
      </c>
      <c r="C10" s="48">
        <f ca="1">ROUND(FringeBenfTaxCalcListTO,2)</f>
        <v>0</v>
      </c>
      <c r="D10" s="39"/>
    </row>
    <row r="11" spans="1:4" ht="16.5" x14ac:dyDescent="0.3">
      <c r="A11" s="111">
        <v>9</v>
      </c>
      <c r="B11" s="112" t="s">
        <v>954</v>
      </c>
      <c r="C11" s="96">
        <f ca="1">ROUND(SUM(ClcTaxDue.EmpTO,ClcTaxDue.DsblEmpTO,ClcTaxDue.LumpSumTO,ClcTaxDue.ArrEmpTO,ClcTaxDue.ArrDsblEmpTO,ClcTaxDue.GratListTO,ClcTaxDue.FringeBenfTO),2)</f>
        <v>0</v>
      </c>
      <c r="D11" s="39"/>
    </row>
    <row r="12" spans="1:4" ht="16.5" customHeight="1" x14ac:dyDescent="0.3">
      <c r="A12" s="107">
        <v>10</v>
      </c>
      <c r="B12" s="108" t="s">
        <v>955</v>
      </c>
      <c r="C12" s="213">
        <v>0</v>
      </c>
      <c r="D12" s="39"/>
    </row>
    <row r="13" spans="1:4" ht="16.5" x14ac:dyDescent="0.3">
      <c r="A13" s="111">
        <v>11</v>
      </c>
      <c r="B13" s="112" t="s">
        <v>956</v>
      </c>
      <c r="C13" s="96">
        <f ca="1">ROUND(SUM(ClcTaxDue.TotPayeTaxPybl,ClcTaxDue.PrevMonPaye),2)</f>
        <v>0</v>
      </c>
      <c r="D13" s="39"/>
    </row>
    <row r="14" spans="1:4" ht="31.5" x14ac:dyDescent="0.25">
      <c r="A14" s="107">
        <v>12</v>
      </c>
      <c r="B14" s="108" t="s">
        <v>957</v>
      </c>
      <c r="C14" s="48">
        <f ca="1">IF(ClcTaxDue.TotTaxPybl&gt;0,ROUND(DtlsPayeFinalTaxPdTO,2),0)</f>
        <v>0</v>
      </c>
      <c r="D14" s="39"/>
    </row>
    <row r="15" spans="1:4" ht="16.5" x14ac:dyDescent="0.3">
      <c r="A15" s="111">
        <v>13</v>
      </c>
      <c r="B15" s="112" t="s">
        <v>958</v>
      </c>
      <c r="C15" s="96">
        <f ca="1">ROUND(ClcTaxDue.TotTaxPybl,2)-ROUND(ClcTaxDue.TaxAdvPdTO,2)</f>
        <v>0</v>
      </c>
      <c r="D15" s="39"/>
    </row>
    <row r="16" spans="1:4" ht="37.5" customHeight="1" x14ac:dyDescent="0.25">
      <c r="A16" s="39"/>
      <c r="B16" s="39"/>
      <c r="C16" s="39"/>
      <c r="D16" s="39"/>
    </row>
    <row r="17" spans="1:4" ht="37.5" customHeight="1" x14ac:dyDescent="0.25">
      <c r="A17" s="39"/>
      <c r="B17" s="39" t="s">
        <v>959</v>
      </c>
      <c r="C17" s="39"/>
      <c r="D17" s="39"/>
    </row>
  </sheetData>
  <sheetProtection password="94AB" sheet="1" objects="1" scenarios="1" selectLockedCells="1"/>
  <mergeCells count="1">
    <mergeCell ref="A1:C1"/>
  </mergeCells>
  <dataValidations xWindow="845" yWindow="400" count="1">
    <dataValidation type="decimal" allowBlank="1" showInputMessage="1" showErrorMessage="1" errorTitle="Data Error:" error="Please enter positive numeric value less than or equal to 100" promptTitle="Numeric:" prompt="Enter positive numeric value less than or equal to 100" sqref="C12">
      <formula1>0</formula1>
      <formula2>100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election activeCell="A2" sqref="A2"/>
    </sheetView>
  </sheetViews>
  <sheetFormatPr defaultRowHeight="15" x14ac:dyDescent="0.25"/>
  <sheetData>
    <row r="4" spans="1:1" x14ac:dyDescent="0.25">
      <c r="A4" s="113" t="s">
        <v>1142</v>
      </c>
    </row>
    <row r="5" spans="1:1" x14ac:dyDescent="0.25">
      <c r="A5" t="s">
        <v>960</v>
      </c>
    </row>
    <row r="10" spans="1:1" x14ac:dyDescent="0.25">
      <c r="A10" t="s">
        <v>1142</v>
      </c>
    </row>
    <row r="11" spans="1:1" x14ac:dyDescent="0.25">
      <c r="A11" t="s">
        <v>960</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153</vt:i4>
      </vt:variant>
    </vt:vector>
  </HeadingPairs>
  <TitlesOfParts>
    <vt:vector size="172" baseType="lpstr">
      <vt:lpstr>Read Me</vt:lpstr>
      <vt:lpstr>Errors</vt:lpstr>
      <vt:lpstr>Data</vt:lpstr>
      <vt:lpstr>ImportCsv</vt:lpstr>
      <vt:lpstr>Validations</vt:lpstr>
      <vt:lpstr>ValidationList</vt:lpstr>
      <vt:lpstr>Macros_Disabled</vt:lpstr>
      <vt:lpstr>A_Basic_Info</vt:lpstr>
      <vt:lpstr>B_Employees_Dtls</vt:lpstr>
      <vt:lpstr>C_Disabled_Employees_Dtls</vt:lpstr>
      <vt:lpstr>D_Computation_of_Car_Benefit</vt:lpstr>
      <vt:lpstr>E_Computation_of_Insu_Relief</vt:lpstr>
      <vt:lpstr>F_Lump_Sum_Payments_Dtls</vt:lpstr>
      <vt:lpstr>G_Arrears_Dtls_E</vt:lpstr>
      <vt:lpstr>H_Arrears_Dtls_DE</vt:lpstr>
      <vt:lpstr>I_Gratuity_Dtls</vt:lpstr>
      <vt:lpstr>J_FBT_Dtls</vt:lpstr>
      <vt:lpstr>K_PAYE_Payment_Credits</vt:lpstr>
      <vt:lpstr>L_Tax_Due</vt:lpstr>
      <vt:lpstr>_Yr2007</vt:lpstr>
      <vt:lpstr>ArrearsDsblEmpPIN</vt:lpstr>
      <vt:lpstr>ArrearsEmpPIN</vt:lpstr>
      <vt:lpstr>BodyType</vt:lpstr>
      <vt:lpstr>BodyTypeCode</vt:lpstr>
      <vt:lpstr>Boolean</vt:lpstr>
      <vt:lpstr>CalPayeTaxPyblOnGratI.List</vt:lpstr>
      <vt:lpstr>CalPayeTaxPyblOnGratII.List</vt:lpstr>
      <vt:lpstr>CalPayeTaxPyblOnGratIListTO</vt:lpstr>
      <vt:lpstr>CarBenefit.List</vt:lpstr>
      <vt:lpstr>CarBenefitListTO</vt:lpstr>
      <vt:lpstr>CarBnftUnq</vt:lpstr>
      <vt:lpstr>CarBnftValue</vt:lpstr>
      <vt:lpstr>CarType</vt:lpstr>
      <vt:lpstr>CarTypeCode</vt:lpstr>
      <vt:lpstr>ClcTaxDue.ArrDsblEmpTO</vt:lpstr>
      <vt:lpstr>ClcTaxDue.ArrEmpTO</vt:lpstr>
      <vt:lpstr>ClcTaxDue.DsblEmpTO</vt:lpstr>
      <vt:lpstr>ClcTaxDue.EmpTO</vt:lpstr>
      <vt:lpstr>ClcTaxDue.FringeBenfTO</vt:lpstr>
      <vt:lpstr>ClcTaxDue.GratListTO</vt:lpstr>
      <vt:lpstr>ClcTaxDue.LumpSumTO</vt:lpstr>
      <vt:lpstr>ClcTaxDue.NetPayeTaxPybl</vt:lpstr>
      <vt:lpstr>ClcTaxDue.PrevMonPaye</vt:lpstr>
      <vt:lpstr>ClcTaxDue.TaxAdvPdTO</vt:lpstr>
      <vt:lpstr>ClcTaxDue.TotEmpRcrds</vt:lpstr>
      <vt:lpstr>ClcTaxDue.TotPayeTaxPybl</vt:lpstr>
      <vt:lpstr>ClcTaxDue.TotTaxPybl</vt:lpstr>
      <vt:lpstr>DtlsArrSalPdBftsPayeDedFrmDsblEmp.List</vt:lpstr>
      <vt:lpstr>DtlsArrSalPdBftsPayeDedFrmDsblEmpListTO</vt:lpstr>
      <vt:lpstr>DtlsArrSalPdBftsPayeDedFrmEmp.List</vt:lpstr>
      <vt:lpstr>DtlsArrSalPdBftsPayeDedFrmEmpListTO</vt:lpstr>
      <vt:lpstr>DtlsArrSalPdBftsPayeSelfPayeListTO</vt:lpstr>
      <vt:lpstr>DtlsPaye.SelfAssTaxPaidList</vt:lpstr>
      <vt:lpstr>DtlsPaye.TaxPaidAdvList</vt:lpstr>
      <vt:lpstr>DtlsPayeFinalTaxPdTO</vt:lpstr>
      <vt:lpstr>DtlsPayeSelfAssTaxListTO</vt:lpstr>
      <vt:lpstr>DtlsPayeTaxPaidAdvListTO</vt:lpstr>
      <vt:lpstr>DtlsSalPdArrearDEListTO</vt:lpstr>
      <vt:lpstr>DtlsSalPdBftsPayeDedFrmDsblEmp.List</vt:lpstr>
      <vt:lpstr>DtlsSalPdBftsPayeDedFrmDsblEmpListTO</vt:lpstr>
      <vt:lpstr>DtlsSalPdBftsPayeDedFrmEmp.List</vt:lpstr>
      <vt:lpstr>DtlsSalPdBftsPayeDedFrmEmpListTO</vt:lpstr>
      <vt:lpstr>DtlsSalPdBftsSelfPayTaxDEListTO</vt:lpstr>
      <vt:lpstr>DtlsSalPdBftsSelfPayTaxListTO</vt:lpstr>
      <vt:lpstr>EntityCode</vt:lpstr>
      <vt:lpstr>EntityType</vt:lpstr>
      <vt:lpstr>EntityTypeCodeCol</vt:lpstr>
      <vt:lpstr>formId</vt:lpstr>
      <vt:lpstr>FringeBenf.TaxCalcList</vt:lpstr>
      <vt:lpstr>FringeBenfTaxCalcListTO</vt:lpstr>
      <vt:lpstr>genXML</vt:lpstr>
      <vt:lpstr>GratuityPIN</vt:lpstr>
      <vt:lpstr>HolderPolicy</vt:lpstr>
      <vt:lpstr>HolderPolicyCode</vt:lpstr>
      <vt:lpstr>InsReliefDtls.List</vt:lpstr>
      <vt:lpstr>InsReliefDtlsListTO</vt:lpstr>
      <vt:lpstr>InsReliefPINEmp</vt:lpstr>
      <vt:lpstr>InsReliefUnq</vt:lpstr>
      <vt:lpstr>InsReliefValue</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PINSrNo</vt:lpstr>
      <vt:lpstr>PolicyCode</vt:lpstr>
      <vt:lpstr>PurposeOfPolicy</vt:lpstr>
      <vt:lpstr>RefSchedules</vt:lpstr>
      <vt:lpstr>RefSchedulesCode</vt:lpstr>
      <vt:lpstr>ResidentStatus</vt:lpstr>
      <vt:lpstr>ResidentStatusC</vt:lpstr>
      <vt:lpstr>ResidentStatusCode</vt:lpstr>
      <vt:lpstr>ResidentStatusD</vt:lpstr>
      <vt:lpstr>ResidentStatusH</vt:lpstr>
      <vt:lpstr>ResidentStatusI</vt:lpstr>
      <vt:lpstr>RetInf.arrearStartDate</vt:lpstr>
      <vt:lpstr>RetInf.DatePaymentStartDate</vt:lpstr>
      <vt:lpstr>RetInf.DepositStartDate</vt:lpstr>
      <vt:lpstr>ReturnType</vt:lpstr>
      <vt:lpstr>ReturnTypeCode</vt:lpstr>
      <vt:lpstr>RtnInf.EntityCode</vt:lpstr>
      <vt:lpstr>RtnInf.EntityType</vt:lpstr>
      <vt:lpstr>RtnInf.Month</vt:lpstr>
      <vt:lpstr>RtnInf.MonthCode</vt:lpstr>
      <vt:lpstr>RtnInf.ReturnType</vt:lpstr>
      <vt:lpstr>RtnInf.RtnPrdFrom</vt:lpstr>
      <vt:lpstr>RtnInf.RtnPrdTo</vt:lpstr>
      <vt:lpstr>RtnInf.RtnPrdToAct</vt:lpstr>
      <vt:lpstr>RtnInf.RtnPrdToActStart</vt:lpstr>
      <vt:lpstr>RtnInf.RtnYear</vt:lpstr>
      <vt:lpstr>RtnInf.TaxPayersPIN</vt:lpstr>
      <vt:lpstr>SalDedDsbEmpPIN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SortedBodyType</vt:lpstr>
      <vt:lpstr>SortedCarType</vt:lpstr>
      <vt:lpstr>SortedEntityType</vt:lpstr>
      <vt:lpstr>SortedMonthList</vt:lpstr>
      <vt:lpstr>SortedResidentStatus</vt:lpstr>
      <vt:lpstr>SortedResidentStatustemp</vt:lpstr>
      <vt:lpstr>SortedTypeOfHousing</vt:lpstr>
      <vt:lpstr>TaxPayable</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Rani</dc:creator>
  <cp:lastModifiedBy>User</cp:lastModifiedBy>
  <dcterms:created xsi:type="dcterms:W3CDTF">2013-08-30T14:29:57Z</dcterms:created>
  <dcterms:modified xsi:type="dcterms:W3CDTF">2016-03-21T06:34:08Z</dcterms:modified>
</cp:coreProperties>
</file>